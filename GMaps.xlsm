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STER\"/>
    </mc:Choice>
  </mc:AlternateContent>
  <bookViews>
    <workbookView xWindow="0" yWindow="0" windowWidth="28800" windowHeight="13725" activeTab="4"/>
  </bookViews>
  <sheets>
    <sheet name="G_LATLNG" sheetId="5" r:id="rId1"/>
    <sheet name="G_DISTANCE" sheetId="4" r:id="rId2"/>
    <sheet name="WebBrowser" sheetId="1" r:id="rId3"/>
    <sheet name="ListDistances" sheetId="6" r:id="rId4"/>
    <sheet name="ListStation" sheetId="10" r:id="rId5"/>
  </sheets>
  <functionGroups builtInGroupCount="18"/>
  <definedNames>
    <definedName name="Locations">Table3[Select location]</definedName>
    <definedName name="tempTable_1" localSheetId="2">WebBrowser!$XX$250:$XX$251</definedName>
  </definedNames>
  <calcPr calcId="152511"/>
</workbook>
</file>

<file path=xl/calcChain.xml><?xml version="1.0" encoding="utf-8"?>
<calcChain xmlns="http://schemas.openxmlformats.org/spreadsheetml/2006/main">
  <c r="A7" i="4" l="1"/>
  <c r="A6" i="4"/>
  <c r="A5" i="4"/>
  <c r="A4" i="4"/>
  <c r="A3" i="4"/>
  <c r="A2" i="4"/>
  <c r="E4" i="5"/>
  <c r="C4" i="5"/>
  <c r="G7" i="4"/>
  <c r="B4" i="4"/>
  <c r="C3" i="4"/>
  <c r="E2" i="5"/>
  <c r="B7" i="5"/>
  <c r="B2" i="4"/>
  <c r="G3" i="4"/>
  <c r="F6" i="4"/>
  <c r="C4" i="4"/>
  <c r="D3" i="5"/>
  <c r="B3" i="5"/>
  <c r="D4" i="5"/>
  <c r="F7" i="4"/>
  <c r="G8" i="4"/>
  <c r="D7" i="4"/>
  <c r="D4" i="1"/>
  <c r="G6" i="4"/>
  <c r="D5" i="4"/>
  <c r="D8" i="4"/>
  <c r="D2" i="5"/>
  <c r="D6" i="4"/>
  <c r="C3" i="5"/>
  <c r="E5" i="4"/>
  <c r="C2" i="5"/>
  <c r="E7" i="5"/>
  <c r="C8" i="4"/>
  <c r="C5" i="5"/>
  <c r="D5" i="5"/>
  <c r="G4" i="4"/>
  <c r="B8" i="4"/>
  <c r="B5" i="5"/>
  <c r="C7" i="4"/>
  <c r="D7" i="5"/>
  <c r="C6" i="5"/>
  <c r="G5" i="4"/>
  <c r="E7" i="4"/>
  <c r="B5" i="4"/>
  <c r="C6" i="4"/>
  <c r="B7" i="4"/>
  <c r="C5" i="4"/>
  <c r="B4" i="5"/>
  <c r="E5" i="5"/>
  <c r="J9" i="1"/>
  <c r="C7" i="5"/>
  <c r="B3" i="4"/>
  <c r="E3" i="5"/>
  <c r="E8" i="4"/>
  <c r="G2" i="4"/>
  <c r="D6" i="5"/>
  <c r="E6" i="4"/>
  <c r="B6" i="4"/>
  <c r="D4" i="4"/>
  <c r="B2" i="5"/>
  <c r="B6" i="5"/>
  <c r="E6" i="5"/>
  <c r="F8" i="4"/>
  <c r="C10" i="1" l="1"/>
  <c r="C5" i="1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whatismyip.org" htmlTables="1" htmlFormat="all"/>
  </connection>
  <connection id="2" name="Connection1" type="4" refreshedVersion="0" background="1">
    <webPr url="http://whatismyip.org" htmlTables="1" htmlFormat="all"/>
  </connection>
  <connection id="3" name="Connection10" type="4" refreshedVersion="0" background="1">
    <webPr url="http://www.ip2location.net" htmlTables="1" htmlFormat="all"/>
  </connection>
  <connection id="4" name="Connection11" type="4" refreshedVersion="0" background="1">
    <webPr url="http://www.ip2location.net" htmlTables="1" htmlFormat="all"/>
  </connection>
  <connection id="5" name="Connection12" type="4" refreshedVersion="0" background="1">
    <webPr url="http://www.ip2location.net" htmlTables="1" htmlFormat="all"/>
  </connection>
  <connection id="6" name="Connection13" type="4" refreshedVersion="0" background="1">
    <webPr url="http://www.ip2location.net" htmlTables="1" htmlFormat="all"/>
  </connection>
  <connection id="7" name="Connection14" type="4" refreshedVersion="0" background="1">
    <webPr url="http://www.ip2location.net" htmlTables="1" htmlFormat="all"/>
  </connection>
  <connection id="8" name="Connection15" type="4" refreshedVersion="0" background="1">
    <webPr url="http://www.ip2location.net" htmlTables="1" htmlFormat="all"/>
  </connection>
  <connection id="9" name="Connection16" type="4" refreshedVersion="0" background="1">
    <webPr url="http://www.ip2location.net" htmlTables="1" htmlFormat="all"/>
  </connection>
  <connection id="10" name="Connection17" type="4" refreshedVersion="0" background="1">
    <webPr url="http://www.ip2location.net" htmlTables="1" htmlFormat="all"/>
  </connection>
  <connection id="11" name="Connection18" type="4" refreshedVersion="0" background="1">
    <webPr url="http://www.ip2location.net" htmlTables="1" htmlFormat="all"/>
  </connection>
  <connection id="12" name="Connection19" type="4" refreshedVersion="0" background="1">
    <webPr url="http://www.ip2location.net" htmlTables="1" htmlFormat="all"/>
  </connection>
  <connection id="13" name="Connection2" type="4" refreshedVersion="0" background="1">
    <webPr url="http://www.ip2location.net" htmlTables="1" htmlFormat="all"/>
  </connection>
  <connection id="14" name="Connection20" type="4" refreshedVersion="0" background="1">
    <webPr url="http://www.ip2location.net" htmlTables="1" htmlFormat="all"/>
  </connection>
  <connection id="15" name="Connection21" type="4" refreshedVersion="0" background="1">
    <webPr url="http://www.ip2location.net" htmlTables="1" htmlFormat="all"/>
  </connection>
  <connection id="16" name="Connection22" type="4" refreshedVersion="4" background="1" saveData="1">
    <webPr xl2000="1" url="http://geoiplookup.wikimedia.org/" htmlTables="1">
      <tables count="1">
        <x v="1"/>
      </tables>
    </webPr>
  </connection>
  <connection id="17" name="Connection3" type="4" refreshedVersion="0" background="1">
    <webPr url="http://www.ip2location.net" htmlTables="1" htmlFormat="all"/>
  </connection>
  <connection id="18" name="Connection4" type="4" refreshedVersion="0" background="1">
    <webPr url="http://www.iplocation.net" htmlTables="1" htmlFormat="all"/>
  </connection>
  <connection id="19" name="Connection5" type="4" refreshedVersion="0" background="1">
    <webPr url="http://www.iplocation.net" htmlTables="1" htmlFormat="all"/>
  </connection>
  <connection id="20" name="Connection6" type="4" refreshedVersion="0" background="1">
    <webPr url="http://www.iplocation.net" htmlTables="1" htmlFormat="all"/>
  </connection>
  <connection id="21" name="Connection7" type="4" refreshedVersion="0" background="1">
    <webPr url="http://www.ip2location.net" htmlTables="1" htmlFormat="all"/>
  </connection>
  <connection id="22" name="Connection8" type="4" refreshedVersion="0" background="1">
    <webPr url="http://www.iplocation.net" htmlTables="1" htmlFormat="all"/>
  </connection>
  <connection id="23" name="Connection9" type="4" refreshedVersion="0" background="1">
    <webPr url="http://www.iplocation.net" htmlTables="1" htmlFormat="all"/>
  </connection>
</connections>
</file>

<file path=xl/sharedStrings.xml><?xml version="1.0" encoding="utf-8"?>
<sst xmlns="http://schemas.openxmlformats.org/spreadsheetml/2006/main" count="1192" uniqueCount="969">
  <si>
    <t>Place of interest</t>
  </si>
  <si>
    <t>Latitude and longitude</t>
  </si>
  <si>
    <t>Base url</t>
  </si>
  <si>
    <t>http://maps.google.co.uk/maps?</t>
  </si>
  <si>
    <t>Map type</t>
  </si>
  <si>
    <t>Zoom level</t>
  </si>
  <si>
    <t>embed</t>
  </si>
  <si>
    <t>Output</t>
  </si>
  <si>
    <t>Info window</t>
  </si>
  <si>
    <t>http://maps.google.com/maps/api/staticmap?</t>
  </si>
  <si>
    <t>&amp;center=</t>
  </si>
  <si>
    <t>&amp;zoom=</t>
  </si>
  <si>
    <t>&amp;size=</t>
  </si>
  <si>
    <t>&amp;maptype=</t>
  </si>
  <si>
    <t>&amp;markers=</t>
  </si>
  <si>
    <t>color:</t>
  </si>
  <si>
    <t>|label:</t>
  </si>
  <si>
    <t>|</t>
  </si>
  <si>
    <t>&amp;sensor=false</t>
  </si>
  <si>
    <t>roadmap</t>
  </si>
  <si>
    <t>red</t>
  </si>
  <si>
    <t>525x330</t>
  </si>
  <si>
    <t>A</t>
  </si>
  <si>
    <t>&amp;q=</t>
  </si>
  <si>
    <t>&amp;ll=</t>
  </si>
  <si>
    <t>&amp;t=</t>
  </si>
  <si>
    <t>&amp;z=</t>
  </si>
  <si>
    <t>&amp;output=</t>
  </si>
  <si>
    <t>&amp;iwloc=</t>
  </si>
  <si>
    <t>Size</t>
  </si>
  <si>
    <t>Markers</t>
  </si>
  <si>
    <t>Colour</t>
  </si>
  <si>
    <t>Letter</t>
  </si>
  <si>
    <t>Device has GPS?</t>
  </si>
  <si>
    <t>ss</t>
  </si>
  <si>
    <t>URL to visit - Google maps</t>
  </si>
  <si>
    <t>URL to visit - Google staticmap</t>
  </si>
  <si>
    <t>Regular Google Map</t>
  </si>
  <si>
    <t>Google Static Map</t>
  </si>
  <si>
    <t>Parameter code</t>
  </si>
  <si>
    <t>Paris</t>
  </si>
  <si>
    <t>London</t>
  </si>
  <si>
    <t>Rome</t>
  </si>
  <si>
    <t>Amsterdam</t>
  </si>
  <si>
    <t>Location</t>
  </si>
  <si>
    <t>Lat/long</t>
  </si>
  <si>
    <t>Lat</t>
  </si>
  <si>
    <t>Long</t>
  </si>
  <si>
    <t>Milan</t>
  </si>
  <si>
    <t>Munich</t>
  </si>
  <si>
    <t>Select location</t>
  </si>
  <si>
    <t>s</t>
  </si>
  <si>
    <t>51b Baker St, London</t>
  </si>
  <si>
    <t>Times Square, NY</t>
  </si>
  <si>
    <t>O'Malley's Bar, Dublin</t>
  </si>
  <si>
    <t>My location</t>
  </si>
  <si>
    <t>85.91.225.85</t>
  </si>
  <si>
    <t>IP Address</t>
  </si>
  <si>
    <t>Country</t>
  </si>
  <si>
    <t>ISP</t>
  </si>
  <si>
    <t>Time Zone</t>
  </si>
  <si>
    <t>Field Name</t>
  </si>
  <si>
    <t>Value</t>
  </si>
  <si>
    <t>UNITED KINGDOM</t>
  </si>
  <si>
    <t>Region &amp; City</t>
  </si>
  <si>
    <t>ENGLAND, CONGLETON</t>
  </si>
  <si>
    <t>Latitude &amp; Longitude</t>
  </si>
  <si>
    <t>53.163971, -2.21001</t>
  </si>
  <si>
    <t>ZIP Code</t>
  </si>
  <si>
    <t>-</t>
  </si>
  <si>
    <t>INTERNET CONNECTIONS LTD</t>
  </si>
  <si>
    <t>Domain</t>
  </si>
  <si>
    <t>AS34270.NET</t>
  </si>
  <si>
    <t>+00:00</t>
  </si>
  <si>
    <t>Net Speed</t>
  </si>
  <si>
    <t>DSL</t>
  </si>
  <si>
    <t>Area Code &amp; IDD Code</t>
  </si>
  <si>
    <t>Weather Station</t>
  </si>
  <si>
    <t>CONGLETON (UKXX0849)</t>
  </si>
  <si>
    <t>Mobile MCC, MNC, and Carrier name</t>
  </si>
  <si>
    <t>188.223.229.118</t>
  </si>
  <si>
    <t>-, -</t>
  </si>
  <si>
    <t>54.166997, -4.482106</t>
  </si>
  <si>
    <t>BE UN LIMITED</t>
  </si>
  <si>
    <t>BETHERE.CO.UK</t>
  </si>
  <si>
    <t>ESKMEALS (UKXX0233)</t>
  </si>
  <si>
    <t xml:space="preserve">Geo = {"city":"Erith","country":"GB","lat":"51.483299","lon":"0.200000","IP":"188.223.229.118","netmask":"24"} </t>
  </si>
  <si>
    <t>London, GB</t>
  </si>
  <si>
    <t>Distance matrix</t>
  </si>
  <si>
    <t>Instructions</t>
  </si>
  <si>
    <t>Distances between pairs of locations (row and column) are returned in the table.</t>
  </si>
  <si>
    <t>Address</t>
  </si>
  <si>
    <t>Add your locations as the headers of the table (Row 1)</t>
  </si>
  <si>
    <t>Béziers</t>
  </si>
  <si>
    <t>Köln</t>
  </si>
  <si>
    <t>Straßburg</t>
  </si>
  <si>
    <t>Almuñecar</t>
  </si>
  <si>
    <t>Alcobaça</t>
  </si>
  <si>
    <t>Kaohsiung Formosa Boulevard (MRT)</t>
  </si>
  <si>
    <t>Kaohsiung Ecological District (MRT)</t>
  </si>
  <si>
    <t>Kaohsiung Arena (MRT)</t>
  </si>
  <si>
    <t>Kaohsiung International Airport(MRT)</t>
  </si>
  <si>
    <t>Kaohsiung Arena(2)(MRT)</t>
  </si>
  <si>
    <t>Kaohsiung Museum of Fine Art</t>
  </si>
  <si>
    <t>Kaohsiung Film Archive</t>
  </si>
  <si>
    <t>Kaohsiung City Government Police Bureau</t>
  </si>
  <si>
    <t>Kaohsiung Girls' Senior High School</t>
  </si>
  <si>
    <t>National Kaohsiung Normal University</t>
  </si>
  <si>
    <t>Kaohsiung Medical University</t>
  </si>
  <si>
    <t>Kaohsiung Senior High school</t>
  </si>
  <si>
    <t>Kaohsiung First University of Science and Technology</t>
  </si>
  <si>
    <t>Kaohsiung Public Library(Youchang)</t>
  </si>
  <si>
    <t>Kaohsiung Municipal Kaohsiung Industrial High School</t>
  </si>
  <si>
    <t>Kaohsiung City Marine Bureau</t>
  </si>
  <si>
    <t>National Kaohsiung Marine University Cijin District(1)</t>
  </si>
  <si>
    <t>Kaohsiung General Post Office</t>
  </si>
  <si>
    <t>Kaohsiung Medical University (2)</t>
  </si>
  <si>
    <t>Kaohsiung Girls' Senior High School(2)</t>
  </si>
  <si>
    <t>National Kaohsiung Normal University(2)</t>
  </si>
  <si>
    <t>National Kaohsiung Marine University Cijin District(2)</t>
  </si>
  <si>
    <t>Kaohsiung Veterans General Hospital</t>
  </si>
  <si>
    <t>Kaohsiung Commercial High School</t>
  </si>
  <si>
    <t>Kaohsiung City Motor Vehicles Office</t>
  </si>
  <si>
    <t>Kaohsiung Chenai</t>
  </si>
  <si>
    <t>Kaohsiung Aozihdi (MRT)</t>
  </si>
  <si>
    <t>Kaohsiung Houyi (MRT)</t>
  </si>
  <si>
    <t>Kaohsiung Rear of Rail Station</t>
  </si>
  <si>
    <t>Kaohsiung Central Park (MRT)</t>
  </si>
  <si>
    <t>Kaohsiung Sanduo Shopping District (MRT)</t>
  </si>
  <si>
    <t>Kaohsiung Singuang Zhongshan</t>
  </si>
  <si>
    <t>Kaohsiung Shihjia (MRT)</t>
  </si>
  <si>
    <t>Kaohsiung Kaisyuan (MRT)</t>
  </si>
  <si>
    <t>Kaohsiung Sizihwan (MRT)</t>
  </si>
  <si>
    <t>Kaohsiung Yanchengpu (MRT)</t>
  </si>
  <si>
    <t>Kaohsiung City Council Former Site (MRT)</t>
  </si>
  <si>
    <t>Kaohsiung Sinsing District Office</t>
  </si>
  <si>
    <t>Kaohsiung Cultural Center (MRT)</t>
  </si>
  <si>
    <t>Kaohsiung Wukuaicuo (MRT)</t>
  </si>
  <si>
    <t>Kaohsiung Martial Arts Stadium (MRT)</t>
  </si>
  <si>
    <t>Kaohsiung Weiwuying(MRT)</t>
  </si>
  <si>
    <t>Kaohsiung Da-Dong Art Center -01</t>
  </si>
  <si>
    <t>Kaohsiung Fongshan (MRT)</t>
  </si>
  <si>
    <t>Kaohsiung Fongshan West(MRT)</t>
  </si>
  <si>
    <t>Kaohsiung Siaogang(MRT)</t>
  </si>
  <si>
    <t>Kaohsiung World Games(MRT)</t>
  </si>
  <si>
    <t>Kaohsiung Nanzih Export Processing Zone(MRT)</t>
  </si>
  <si>
    <t>Kaohsiung Metropolitan Park(MRT)</t>
  </si>
  <si>
    <t>Kaohsiung Cingpu(MRT)</t>
  </si>
  <si>
    <t>Kaohsiung Gangshan South( MRT)</t>
  </si>
  <si>
    <t>Kaohsiung Zuoying Station THSR</t>
  </si>
  <si>
    <t>Kaohsiung Caoya(MRT)</t>
  </si>
  <si>
    <t>Kaohsiung Fucheng Senior High School</t>
  </si>
  <si>
    <t>Kaohsiung Houyi(2)(MRT)</t>
  </si>
  <si>
    <t>Kaohsiung Central Park(2)(MRT)</t>
  </si>
  <si>
    <t>Kaohsiung Sanduo Shopping District(2)(MRT)</t>
  </si>
  <si>
    <t>Kaohsiung Cultural Center(2)(MRT)</t>
  </si>
  <si>
    <t>Kaohsiung Cianjhen Senior High School (MRT)</t>
  </si>
  <si>
    <t>Kaohsiung Daliao(MRT)</t>
  </si>
  <si>
    <t>Kaohsiung Xinzuoying(TRA)</t>
  </si>
  <si>
    <t>Kaohsiung Lotus Pond</t>
  </si>
  <si>
    <t>Kaohsiung Yucheng Xinhai</t>
  </si>
  <si>
    <t>Kaohsiung Mingcheng Guangsing</t>
  </si>
  <si>
    <t>Kaohsiung Huarong Park</t>
  </si>
  <si>
    <t>Kaohsiung Aozihdi Forest Park</t>
  </si>
  <si>
    <t>Kaohsiung Heart of Love River</t>
  </si>
  <si>
    <t>Kaohsiung National Science and Technology Museum</t>
  </si>
  <si>
    <t>Kaohsiung National Sun Yat-Sen University</t>
  </si>
  <si>
    <t>Kaohsiung Fisherman Wharf</t>
  </si>
  <si>
    <t>Kaohsiung Carrefour Love River Store</t>
  </si>
  <si>
    <t>Kaohsiung Ambassador Hotel</t>
  </si>
  <si>
    <t>Kaohsiung Cisian jhongsiao</t>
  </si>
  <si>
    <t>Kaohsiung Minsheng Roundabout</t>
  </si>
  <si>
    <t>Kaohsiung Minsheng Mingcheng</t>
  </si>
  <si>
    <t>Kaohsiung City Government - Sihwei Administration Center</t>
  </si>
  <si>
    <t>Kaohsiung Singuang Zhengkong</t>
  </si>
  <si>
    <t>Kaohsiung Mincyuan Park</t>
  </si>
  <si>
    <t>Kaohsiung Guanghua Park</t>
  </si>
  <si>
    <t>Kaohsiung Carrefour ZhengKong Store</t>
  </si>
  <si>
    <t>Kaohsiung Dream Mall</t>
  </si>
  <si>
    <t>Kaohsiung Smile Park</t>
  </si>
  <si>
    <t>Kaohsiung Fengshan Station</t>
  </si>
  <si>
    <t>Kaohsiung City Council(New)</t>
  </si>
  <si>
    <t>Kaohsiung Fongling Plaza</t>
  </si>
  <si>
    <t>Kaohsiung City Government Fongshan Administration Center</t>
  </si>
  <si>
    <t>Kaohsiung Chengcing Lake</t>
  </si>
  <si>
    <t>Kaohsiung Hospitality Junior High School</t>
  </si>
  <si>
    <t>Kaohsiung Social Education Center</t>
  </si>
  <si>
    <t>Kaohsiung Banchao Park</t>
  </si>
  <si>
    <t>Kaohsiung Bo Ai Elementary School</t>
  </si>
  <si>
    <t>Kaohsiung Hakka Culture Gallary</t>
  </si>
  <si>
    <t>Kaohsiung Mingti Park</t>
  </si>
  <si>
    <t>Kaohsiung Zuoying Elementary school</t>
  </si>
  <si>
    <t>Kaohsiung World Games</t>
  </si>
  <si>
    <t>Kaohsiung Jiachang Elementary School</t>
  </si>
  <si>
    <t>Kaohsiung Gangshan District Office</t>
  </si>
  <si>
    <t>Kaohsiung Sun Yat-Sen Alumni House</t>
  </si>
  <si>
    <t>Kaohsiung Dragon and Tiger Pagoda</t>
  </si>
  <si>
    <t>Kaohsiung China Ship Building Corporation</t>
  </si>
  <si>
    <t>Kaohsiung Jinshi Lake Bus Station</t>
  </si>
  <si>
    <t>Kaohsiung Wenzao Ursuline College of Languages</t>
  </si>
  <si>
    <t>Kaohsiung Jhuang Jing Park</t>
  </si>
  <si>
    <t>Kaohsiung Ding Jin Elementary School</t>
  </si>
  <si>
    <t>Kaohsiung Tsoying Senior High School</t>
  </si>
  <si>
    <t>Kaohsiung Garden Villa</t>
  </si>
  <si>
    <t>Kaohsiung Confucius Temple</t>
  </si>
  <si>
    <t>Kaohsiung Fogong Elementary School</t>
  </si>
  <si>
    <t>Kaohsiung Ersheng Park</t>
  </si>
  <si>
    <t>Kaohsiung Saint Dominic Catholic High School</t>
  </si>
  <si>
    <t>Kaohsiung Ying Ming Park</t>
  </si>
  <si>
    <t>Kaohsiung Siwei Park</t>
  </si>
  <si>
    <t>Kaohsiung Chengshiu University</t>
  </si>
  <si>
    <t>Kaohsiung Minzu Bade</t>
  </si>
  <si>
    <t>Kaohsiung National University Of Kaohsiung</t>
  </si>
  <si>
    <t>Kaohsiung Chungshan Senior High School</t>
  </si>
  <si>
    <t>Kaohsiung Lonhua Elementary School</t>
  </si>
  <si>
    <t>Kaohsiung Nanhua Market</t>
  </si>
  <si>
    <t>Kaohsiung City Government- Sihwei Administration Center (2)</t>
  </si>
  <si>
    <t>Kaohsiung Guanghua Park(2)</t>
  </si>
  <si>
    <t>Kaohsiung Feng-Hsin Senior High School</t>
  </si>
  <si>
    <t>Kaohsiung Meishuguan Makatao</t>
  </si>
  <si>
    <t>Kaohsiung Fushan Square</t>
  </si>
  <si>
    <t>Kaohsiung Agongdian Reservoir</t>
  </si>
  <si>
    <t>Kaohsiung Baoye Flood Detention Park</t>
  </si>
  <si>
    <t>Kaohsiung Yangming Skating Rink</t>
  </si>
  <si>
    <t>Kaohsiung Heroes Temple</t>
  </si>
  <si>
    <t>Kaohsiung Dingtai Square</t>
  </si>
  <si>
    <t>Kaohsiung Pinghe Parking Lot</t>
  </si>
  <si>
    <t>Kaohsiung Siaogang District Office</t>
  </si>
  <si>
    <t>Kaohsiung Daliao District Office</t>
  </si>
  <si>
    <t>Kaohsiung Fortune Institute of Technology 1</t>
  </si>
  <si>
    <t>Kaohsiung Fooyin University</t>
  </si>
  <si>
    <t>Kaohsiung Rotary Park</t>
  </si>
  <si>
    <t>Kaohsiung Gangshan Riverbank Park</t>
  </si>
  <si>
    <t>Kaohsiung Gangshan Taxation Office</t>
  </si>
  <si>
    <t>Kaohsiung Gangshan Zhongxiao Village</t>
  </si>
  <si>
    <t>Kaohsiung Indigenous Affairs Commission</t>
  </si>
  <si>
    <t>Kaohsiung Fire Bureau</t>
  </si>
  <si>
    <t>Kaohsiung Qianzhen Export Processing Zone 1</t>
  </si>
  <si>
    <t>Kaohsiung Fuyu Parking Lot</t>
  </si>
  <si>
    <t>Kaohsiung Cultural Center</t>
  </si>
  <si>
    <t>Kaohsiung Zhengyi Market</t>
  </si>
  <si>
    <t>Kaohsiung Nanzi Cuibing</t>
  </si>
  <si>
    <t>Kaohsiung Fenghsin Senior High School 2</t>
  </si>
  <si>
    <t>Kaohsiung Aozihdi Forest Park 2</t>
  </si>
  <si>
    <t>Kaohsiung Singda Harbor</t>
  </si>
  <si>
    <t>Kaohsiung Hsiaokang Hospital</t>
  </si>
  <si>
    <t>Kaohsiung Ziyou Market</t>
  </si>
  <si>
    <t>Kaohsiung Wun-Shan Senior High School</t>
  </si>
  <si>
    <t>Kaohsiung City Government - Fongshan Administration Center 2</t>
  </si>
  <si>
    <t>Lotus Pond</t>
  </si>
  <si>
    <t>Yucheng Xinhai</t>
  </si>
  <si>
    <t>Mingcheng Guangsing</t>
  </si>
  <si>
    <t>Huarong Park</t>
  </si>
  <si>
    <t>Aozihdi Forest Park</t>
  </si>
  <si>
    <t>Heart of Love River</t>
  </si>
  <si>
    <t>National Science and Technology Museum</t>
  </si>
  <si>
    <t>National Sun Yat-Sen University</t>
  </si>
  <si>
    <t>Fisherman's Wharf</t>
  </si>
  <si>
    <t>Carrefour Love River Store</t>
  </si>
  <si>
    <t>Ambassador Hotel</t>
  </si>
  <si>
    <t>Cisian jhongsiao</t>
  </si>
  <si>
    <t>Minsheng Roundabout</t>
  </si>
  <si>
    <t>Minsheng Mingcheng</t>
  </si>
  <si>
    <t>City Government - Sihwei Administration Center</t>
  </si>
  <si>
    <t>Singuang Zhengkong</t>
  </si>
  <si>
    <t>Mincyuan Park</t>
  </si>
  <si>
    <t>Guanghua Park</t>
  </si>
  <si>
    <t>Carrefour ZhengKong Store</t>
  </si>
  <si>
    <t>Dream Mall</t>
  </si>
  <si>
    <t>Smile Park</t>
  </si>
  <si>
    <t>Fengshan Station</t>
  </si>
  <si>
    <t>City Council(New)</t>
  </si>
  <si>
    <t>Fongling Plaza</t>
  </si>
  <si>
    <t>City Government Fongshan Administration Center</t>
  </si>
  <si>
    <t>Chengcing Lake</t>
  </si>
  <si>
    <t>Hospitality Junior High School</t>
  </si>
  <si>
    <t>Social Education Center</t>
  </si>
  <si>
    <t>Banchao Park</t>
  </si>
  <si>
    <t>Bo Ai Elementary School</t>
  </si>
  <si>
    <t>Hakka Culture Gallary</t>
  </si>
  <si>
    <t>Mingti Park</t>
  </si>
  <si>
    <t>Zuoying Elementary school</t>
  </si>
  <si>
    <t>World Games</t>
  </si>
  <si>
    <t>Jiachang Elementary School</t>
  </si>
  <si>
    <t>Gangshan District Office</t>
  </si>
  <si>
    <t>Sun Yat-Sen Alumni House</t>
  </si>
  <si>
    <t>Dragon and Tiger Pagoda</t>
  </si>
  <si>
    <t>China Ship Building Corporation</t>
  </si>
  <si>
    <t>Jinshi Lake Bus Station</t>
  </si>
  <si>
    <t>Wenzao Ursuline College of Languages</t>
  </si>
  <si>
    <t>Jhuang Jing Park</t>
  </si>
  <si>
    <t>Ding Jin Elementary School</t>
  </si>
  <si>
    <t>Tsoying Senior High School</t>
  </si>
  <si>
    <t>Garden Villa</t>
  </si>
  <si>
    <t>Confucius Temple</t>
  </si>
  <si>
    <t>Fogong Elementary School</t>
  </si>
  <si>
    <t>Ersheng Park</t>
  </si>
  <si>
    <t>Saint Dominic Catholic High School</t>
  </si>
  <si>
    <t>Ying Ming Park</t>
  </si>
  <si>
    <t>Siwei Park</t>
  </si>
  <si>
    <t>Chengshiu University</t>
  </si>
  <si>
    <t>Minzu Bade</t>
  </si>
  <si>
    <t>National University Of Kaohsiung</t>
  </si>
  <si>
    <t>Chungshan Senior High School</t>
  </si>
  <si>
    <t>Lonhua Elementary School</t>
  </si>
  <si>
    <t>Nanhua Market</t>
  </si>
  <si>
    <t>City Government- Sihwei Administration Center (2)</t>
  </si>
  <si>
    <t>Feng-Hsin Senior High School</t>
  </si>
  <si>
    <t>Meishuguan Makatao</t>
  </si>
  <si>
    <t>Fushan Square</t>
  </si>
  <si>
    <t>Agongdian Reservoir</t>
  </si>
  <si>
    <t>Baoye Flood Detention Park</t>
  </si>
  <si>
    <t>Yangming Skating Rink</t>
  </si>
  <si>
    <t>Heroes Temple</t>
  </si>
  <si>
    <t>Dingtai Square</t>
  </si>
  <si>
    <t>Pinghe Parking Lot</t>
  </si>
  <si>
    <t>Siaogang District Office</t>
  </si>
  <si>
    <t>Daliao District Office</t>
  </si>
  <si>
    <t>Fortune Institute of Technology 1</t>
  </si>
  <si>
    <t>Fortune Institute of Technology 2</t>
  </si>
  <si>
    <t>Fooyin University</t>
  </si>
  <si>
    <t>Rotary Park</t>
  </si>
  <si>
    <t>Gangshan Riverbank Park</t>
  </si>
  <si>
    <t>Gangshan Taxation Office</t>
  </si>
  <si>
    <t>Gangshan Zhongxiao Village</t>
  </si>
  <si>
    <t>Indigenous Affairs Commission</t>
  </si>
  <si>
    <t>Fire Bureau</t>
  </si>
  <si>
    <t>Fuyu Parking Lot</t>
  </si>
  <si>
    <t>Cultural Center</t>
  </si>
  <si>
    <t>Zhengyi Market</t>
  </si>
  <si>
    <t>Nanzi Cuibing</t>
  </si>
  <si>
    <t>Singda Harbor</t>
  </si>
  <si>
    <t>Hsiaokang Hospital</t>
  </si>
  <si>
    <t>Ziyou Market</t>
  </si>
  <si>
    <t>Wun-Shan Senior High School</t>
  </si>
  <si>
    <t>Chengcing Lake 3</t>
  </si>
  <si>
    <t>Chengcing Lake 4</t>
  </si>
  <si>
    <t>Chengcing Lake 5</t>
  </si>
  <si>
    <t>蓮池潭站</t>
  </si>
  <si>
    <t>裕誠辛亥站</t>
  </si>
  <si>
    <t>明誠光興站</t>
  </si>
  <si>
    <t>華榮公園站</t>
  </si>
  <si>
    <t>森林公園站</t>
  </si>
  <si>
    <t>鳳山火車站</t>
  </si>
  <si>
    <t>愛河之心站</t>
  </si>
  <si>
    <t>科工館站</t>
  </si>
  <si>
    <t>中山大學站</t>
  </si>
  <si>
    <t>漁人碼頭站</t>
  </si>
  <si>
    <t>高雄電影館站</t>
  </si>
  <si>
    <t>家樂福愛河站</t>
  </si>
  <si>
    <t>市警局站</t>
  </si>
  <si>
    <t>國賓飯店站</t>
  </si>
  <si>
    <t>高雄女中站</t>
  </si>
  <si>
    <t>七賢忠孝站</t>
  </si>
  <si>
    <t>民生圓環站</t>
  </si>
  <si>
    <t>民生民權站</t>
  </si>
  <si>
    <t>市府四維站</t>
  </si>
  <si>
    <t>文化師大站</t>
  </si>
  <si>
    <t>新光成功站</t>
  </si>
  <si>
    <t>民權公園站</t>
  </si>
  <si>
    <t>光華公園站</t>
  </si>
  <si>
    <t>家樂福成功站</t>
  </si>
  <si>
    <t>夢時代站</t>
  </si>
  <si>
    <t>高雄醫學大學站</t>
  </si>
  <si>
    <t>美術館藝片天站</t>
  </si>
  <si>
    <t>市議會(新址)站</t>
  </si>
  <si>
    <t>鳳凌廣場站</t>
  </si>
  <si>
    <t>市府鳳山行政中心站</t>
  </si>
  <si>
    <t>澄清湖站</t>
  </si>
  <si>
    <t>餐旅國中站</t>
  </si>
  <si>
    <t>社教館站</t>
  </si>
  <si>
    <t>班超公園站</t>
  </si>
  <si>
    <t>高雄中學站</t>
  </si>
  <si>
    <t>博愛國小站</t>
  </si>
  <si>
    <t>客家文物館站</t>
  </si>
  <si>
    <t>明堤公園站</t>
  </si>
  <si>
    <t>微笑公園站</t>
  </si>
  <si>
    <t>左營國小站</t>
  </si>
  <si>
    <t>世運主場館站</t>
  </si>
  <si>
    <t>加昌國小站</t>
  </si>
  <si>
    <t>高雄第一科技大學站</t>
  </si>
  <si>
    <t>岡山區公所站</t>
  </si>
  <si>
    <t>西子樓站</t>
  </si>
  <si>
    <t>龍虎塔站</t>
  </si>
  <si>
    <t>右昌圖書館站</t>
  </si>
  <si>
    <t>中鋼台船站</t>
  </si>
  <si>
    <t>金獅湖站</t>
  </si>
  <si>
    <t>文藻外語站</t>
  </si>
  <si>
    <t>莊敬公園站</t>
  </si>
  <si>
    <t>高雄高工站</t>
  </si>
  <si>
    <t>鼎金國小站</t>
  </si>
  <si>
    <t>左營高中站</t>
  </si>
  <si>
    <t>蓮潭會館站</t>
  </si>
  <si>
    <t>孔廟站</t>
  </si>
  <si>
    <t>佛公國小站</t>
  </si>
  <si>
    <t>海洋局站</t>
  </si>
  <si>
    <t>二聖公園站</t>
  </si>
  <si>
    <t>道明中學站</t>
  </si>
  <si>
    <t>英明公園站</t>
  </si>
  <si>
    <t>四維公園站</t>
  </si>
  <si>
    <t>正修大學站</t>
  </si>
  <si>
    <t>民族八德站</t>
  </si>
  <si>
    <t>高雄大學站</t>
  </si>
  <si>
    <t>中山高中站</t>
  </si>
  <si>
    <t>龍華國小站</t>
  </si>
  <si>
    <t>海科大旗津站(1)</t>
  </si>
  <si>
    <t>高雄醫學大學站(2)</t>
  </si>
  <si>
    <t>高雄女中站(2)</t>
  </si>
  <si>
    <t>市府四維站(2)</t>
  </si>
  <si>
    <t>文化師大站(2)</t>
  </si>
  <si>
    <t>光華公園站(2)</t>
  </si>
  <si>
    <t>海科大旗津站(2)</t>
  </si>
  <si>
    <t>鳳新高中站</t>
  </si>
  <si>
    <t>美術館馬卡道站</t>
  </si>
  <si>
    <t>福山廣場站</t>
  </si>
  <si>
    <t>阿公店水庫站</t>
  </si>
  <si>
    <t>澄清湖站(2)</t>
  </si>
  <si>
    <t>寶業里滯洪池站</t>
  </si>
  <si>
    <t>陽明溜冰場站</t>
  </si>
  <si>
    <t>義民廟站</t>
  </si>
  <si>
    <t>鼎泰廣場站</t>
  </si>
  <si>
    <t>平和停車場站</t>
  </si>
  <si>
    <t>小港區公所站</t>
  </si>
  <si>
    <t>和春技術學院站(1)</t>
  </si>
  <si>
    <t>和春技術學院站(2)</t>
  </si>
  <si>
    <t>輔英科技大學站</t>
  </si>
  <si>
    <t>扶輪公園站</t>
  </si>
  <si>
    <t>高雄榮總站</t>
  </si>
  <si>
    <t>岡山河堤公園站</t>
  </si>
  <si>
    <t>岡山稽徵所站</t>
  </si>
  <si>
    <t>岡山忠孝里站</t>
  </si>
  <si>
    <t>原民會站</t>
  </si>
  <si>
    <t>消防局站</t>
  </si>
  <si>
    <t>前鎮加工區站(1)</t>
  </si>
  <si>
    <t>前鎮加工區站(2)</t>
  </si>
  <si>
    <t>福裕停車場站</t>
  </si>
  <si>
    <t>文化中心站</t>
  </si>
  <si>
    <t>正義市場站</t>
  </si>
  <si>
    <t>高雄高商站</t>
  </si>
  <si>
    <t>高雄監理所站</t>
  </si>
  <si>
    <t>楠梓翠屏站</t>
  </si>
  <si>
    <t>鳳新高中站(2)</t>
  </si>
  <si>
    <t>森林公園站(2)</t>
  </si>
  <si>
    <t>高雄真愛館站</t>
  </si>
  <si>
    <t>興達港站</t>
  </si>
  <si>
    <t>小港醫院站</t>
  </si>
  <si>
    <t>自由市場站</t>
  </si>
  <si>
    <t>文山高中站</t>
  </si>
  <si>
    <t>市府鳳山行政中心站(2)</t>
  </si>
  <si>
    <t>澄清湖站(3)</t>
  </si>
  <si>
    <t>澄清湖站(4)</t>
  </si>
  <si>
    <t>澄清湖站(5)</t>
  </si>
  <si>
    <t>大寮區公所站</t>
  </si>
  <si>
    <t>22.680552, 120.297372</t>
  </si>
  <si>
    <t>站點編號</t>
  </si>
  <si>
    <t>站點名稱</t>
  </si>
  <si>
    <t>地址</t>
  </si>
  <si>
    <t>生態園區站</t>
  </si>
  <si>
    <t>高雄市左營區博愛三路捷運R15生態園區站2號出口旁</t>
  </si>
  <si>
    <t>巨蛋站</t>
  </si>
  <si>
    <t>高雄市左營區博愛二路三民家商旁(近捷運R14巨蛋站1號出口)</t>
  </si>
  <si>
    <t>凹仔底站</t>
  </si>
  <si>
    <t>高雄市鼓山區博愛二路捷運R13凹仔底站4號出口旁</t>
  </si>
  <si>
    <t>後驛站</t>
  </si>
  <si>
    <t>高雄市三民區博愛一路捷運R12後驛站2號出口旁</t>
  </si>
  <si>
    <t>後火車站</t>
  </si>
  <si>
    <t>高雄市三民區九如二路後火車站高架橋下</t>
  </si>
  <si>
    <t>美麗島站</t>
  </si>
  <si>
    <t>高雄市前金區六合二路捷運O5R10美麗島站11號出口旁</t>
  </si>
  <si>
    <t>中央公園站</t>
  </si>
  <si>
    <t>高雄市前金區中山二路捷運R9中央公園站1號出口旁</t>
  </si>
  <si>
    <t>三多站</t>
  </si>
  <si>
    <t>高雄市苓雅區中山二路與三多三路圓環處 (近捷運R8三多商圈站5號出口)</t>
  </si>
  <si>
    <t>新光中山站</t>
  </si>
  <si>
    <t>高雄市前鎮區中山二路與新光路口(華爾街美語前,近捷運R8三多商圈站2號出口)</t>
  </si>
  <si>
    <t>獅甲站</t>
  </si>
  <si>
    <t>高雄市前鎮區中山三路勞工公園內(近捷運R7獅甲站2號出口)</t>
  </si>
  <si>
    <t>凱旋站</t>
  </si>
  <si>
    <t>高雄市前鎮區中山三路與時代大道口(南福修車廠旁,近捷運R6凱旋站3號出口)</t>
  </si>
  <si>
    <t>西子灣站</t>
  </si>
  <si>
    <t>高雄市鼓山區鼓山一路新濱派出所旁(近捷運O1西子灣站2號出口)</t>
  </si>
  <si>
    <t>22.680552,120.297372</t>
  </si>
  <si>
    <t>22.660976,120.310470</t>
  </si>
  <si>
    <t>鹽埕埔站</t>
  </si>
  <si>
    <t>鹽埕區大勇路鹽埕國小旁(近捷運O2鹽埕埔站1號出口)</t>
  </si>
  <si>
    <t>市議會(舊址)站</t>
  </si>
  <si>
    <t>高雄市前金區中華三路與中正四路口(近捷運O4市議會站4號出口)</t>
  </si>
  <si>
    <t>新興區公所站</t>
  </si>
  <si>
    <t>高雄市新興區錦田路新興區公所前(近捷運O6信義國小站1號出口)</t>
  </si>
  <si>
    <t>文化中正站</t>
  </si>
  <si>
    <t>苓雅區和平一路與中正一路捷運O7文化中心站3號出口旁</t>
  </si>
  <si>
    <t>五塊厝站</t>
  </si>
  <si>
    <t>苓雅區中正一路258號對面(近捷運O8五塊厝站4號出口)</t>
  </si>
  <si>
    <t>技擊館站</t>
  </si>
  <si>
    <t>苓雅區中正一路與輔仁路技擊館對面(近捷運O9技擊館站2號出口)</t>
  </si>
  <si>
    <t>衛武營站</t>
  </si>
  <si>
    <t>高雄市苓雅區中正一路、建軍路口(近捷運O10衛武營站3號出口)</t>
  </si>
  <si>
    <t>大東文化藝術中心站-01</t>
  </si>
  <si>
    <t>捷運大東站1號出口對面</t>
  </si>
  <si>
    <t>大東文化藝術中心站-02</t>
  </si>
  <si>
    <t>捷運大東站2號出口左側</t>
  </si>
  <si>
    <t>捷運鳳山站</t>
  </si>
  <si>
    <t>捷運鳳山站1號出口左邊</t>
  </si>
  <si>
    <t>捷運鳳山西站</t>
  </si>
  <si>
    <t>捷運鳳山西站2號出口左邊人行道</t>
  </si>
  <si>
    <t>捷運小港站</t>
  </si>
  <si>
    <t>捷運小港站4號出口前</t>
  </si>
  <si>
    <t>捷運青埔站</t>
  </si>
  <si>
    <t>站外機車停車場</t>
  </si>
  <si>
    <t>捷運南岡山站</t>
  </si>
  <si>
    <t>捷運南岡山站1號出口旁公車亭後方</t>
  </si>
  <si>
    <t>捷運世運主場館站</t>
  </si>
  <si>
    <t>捷運世運主場館站1號出口對面</t>
  </si>
  <si>
    <t>捷運楠梓加工出口區站</t>
  </si>
  <si>
    <t>捷運楠梓加工出口區站1號出口處左前方</t>
  </si>
  <si>
    <t>捷運都會公園站</t>
  </si>
  <si>
    <t>捷運都會公園站4號出口處</t>
  </si>
  <si>
    <t>高雄國際機場站</t>
  </si>
  <si>
    <t>高雄國際機場站1號出口前;高雄公園中山四路上</t>
  </si>
  <si>
    <t>草衙站</t>
  </si>
  <si>
    <t>捷運草衙站1號出口前</t>
  </si>
  <si>
    <t>福誠高中站</t>
  </si>
  <si>
    <t>位於五甲三路上，福誠高中側門旁臨媽祖港橋的空地上</t>
  </si>
  <si>
    <t>南華市場站</t>
  </si>
  <si>
    <t>美麗島站7號出口前人行道</t>
  </si>
  <si>
    <t>郵政總局站</t>
  </si>
  <si>
    <t>美麗島站6號出口前人行道</t>
  </si>
  <si>
    <t>高鐵左營站</t>
  </si>
  <si>
    <t>高鐵站大門前3塊人行道上</t>
  </si>
  <si>
    <t>巨蛋站(2)</t>
  </si>
  <si>
    <t>面對原站址右側擴充</t>
  </si>
  <si>
    <t>後驛站(2)</t>
  </si>
  <si>
    <t>面對原站址左側擴充</t>
  </si>
  <si>
    <t>中央公園站(2)</t>
  </si>
  <si>
    <t>三多站(2)</t>
  </si>
  <si>
    <t>文化中正站(2)</t>
  </si>
  <si>
    <t>前鎮高中站</t>
  </si>
  <si>
    <t>R5前鎮高中站1號出口對面，翠亨北路上</t>
  </si>
  <si>
    <t>台鐵新左營站</t>
  </si>
  <si>
    <t>台鐵新左營站旁，臨站前北路</t>
  </si>
  <si>
    <t>捷運大寮站</t>
  </si>
  <si>
    <t>OT1大寮站1號出口，臨捷西路</t>
  </si>
  <si>
    <t>輔英科技大學校內停車場(進學路151號)</t>
  </si>
  <si>
    <t>博愛四路與重信路口</t>
  </si>
  <si>
    <t>高雄榮民總醫院急診室對面，榮總路上</t>
  </si>
  <si>
    <t>仁義路與河堤路二段路口</t>
  </si>
  <si>
    <t>岡山稽徵所後方，臨健鷹南路</t>
  </si>
  <si>
    <t>岡山移民署後方，臨岡山路</t>
  </si>
  <si>
    <t>高雄原住民服務中心對面，翠亨北路上</t>
  </si>
  <si>
    <t>高雄市消防局門口，凱旋四路上</t>
  </si>
  <si>
    <t>加工出口區內，中一路與中四路口</t>
  </si>
  <si>
    <t>福德三路上，福德三路133巷與151巷間</t>
  </si>
  <si>
    <t>廣州一街與青年一路口</t>
  </si>
  <si>
    <t>正義市場後方，文昌路上</t>
  </si>
  <si>
    <t>復興二路與五福二路口</t>
  </si>
  <si>
    <t>公路總局高雄市區監理站門口旁，德民路上</t>
  </si>
  <si>
    <t>楠梓區翠屏活動中心旁，德賢路上</t>
  </si>
  <si>
    <t>鳳新高中側門，新康街上</t>
  </si>
  <si>
    <t>至聖路與龍德路口</t>
  </si>
  <si>
    <t>鹽埕海霸王飯店後方，必信街與大義街口</t>
  </si>
  <si>
    <t>興達港情人碼頭海上劇場旁，正大路與東方路一段中間</t>
  </si>
  <si>
    <t>小港醫院門口休憩區，山明路與漢民路口</t>
  </si>
  <si>
    <t>自由黃昏市場對面，臨自由三路</t>
  </si>
  <si>
    <t>文山高中大門旁，公園路上</t>
  </si>
  <si>
    <t>市府鳳山行政中心旁，澄清路上</t>
  </si>
  <si>
    <t>澄清湖海洋奇珍園旁停車場內</t>
  </si>
  <si>
    <t>澄清湖仁智亭前停車場內</t>
  </si>
  <si>
    <t>澄清湖後門入口處左方</t>
  </si>
  <si>
    <t>大寮區公所內，臨鳳林三路</t>
  </si>
  <si>
    <t>立體停車場入口前平面停車格，美術館路上，近龍水路</t>
  </si>
  <si>
    <t>文川路上，重義路與重愛路中間</t>
  </si>
  <si>
    <t>阿公店水庫大門口右側停車場</t>
  </si>
  <si>
    <t>澄清湖兒童園區停車場內</t>
  </si>
  <si>
    <t>寶業里滯洪池控制中心前，褒揚東街上</t>
  </si>
  <si>
    <t>陽明溜冰場前，義華路上</t>
  </si>
  <si>
    <t>三民義民廟旁，壽昌路91巷與壽昌路口</t>
  </si>
  <si>
    <t>鼎瑞街與裕誠路口</t>
  </si>
  <si>
    <t>平和停車場後方，平和五路與平和路口</t>
  </si>
  <si>
    <t>小港區公所前方，小港路上</t>
  </si>
  <si>
    <t>和春技術學院大發校區內，臨農場路</t>
  </si>
  <si>
    <t>和春技術學院大寮分校前，信義路上</t>
  </si>
  <si>
    <t>位於中洲三路上，面對校門口之右側</t>
  </si>
  <si>
    <t>高雄市鳳山區新富路257號 ‎ (鳳新高中旁)</t>
  </si>
  <si>
    <t>31號公園人行道(臨孔營路)</t>
  </si>
  <si>
    <t>民族一路與八德路交叉路口(臨民族一路上)</t>
  </si>
  <si>
    <t>高雄大學路與大學南路交叉口</t>
  </si>
  <si>
    <t>藍昌路與藍田路交叉路口</t>
  </si>
  <si>
    <t>大順一路與南屏路交叉路口左近人行道(位於南屏路)</t>
  </si>
  <si>
    <t>位於中洲三路上，面對校門口之左側</t>
  </si>
  <si>
    <t>建國一路上，道明中學與聖功醫院中間空地</t>
  </si>
  <si>
    <t>英明路上，英明公園近英明國中側</t>
  </si>
  <si>
    <t>自強路與四維路交叉路口附近</t>
  </si>
  <si>
    <t>面對正修科大校門口右側</t>
  </si>
  <si>
    <t>后平路與佛德路交叉路口</t>
  </si>
  <si>
    <t>漁港中二路與漁港東二路交叉路口</t>
  </si>
  <si>
    <t>光華二路及英德街交叉路口</t>
  </si>
  <si>
    <t>海功路上，左營高中校門口</t>
  </si>
  <si>
    <t>蓮潭會館左側AC路面</t>
  </si>
  <si>
    <t>校內</t>
  </si>
  <si>
    <t>高雄市楠梓區樂群路220號</t>
  </si>
  <si>
    <t>國軍左營醫院對面</t>
  </si>
  <si>
    <t>高雄市岡山區岡山路343號(區公所後方停車場旁)</t>
  </si>
  <si>
    <t>中山大學西子樓前空地</t>
  </si>
  <si>
    <t>高雄市左營區勝利路110號(蓮池潭旅遊服務中心旁 )</t>
  </si>
  <si>
    <t>高雄市楠梓區藍昌路72號</t>
  </si>
  <si>
    <t>面對台船大門口之左側人行道上</t>
  </si>
  <si>
    <t>金鼎路與鼎力路交叉路口(位於鼎力路上)</t>
  </si>
  <si>
    <t>獅湖國小側門人行道（位於鼎中路上）</t>
  </si>
  <si>
    <t>明誠一路與大園街交叉路口左近人行道(臨明誠一路上)</t>
  </si>
  <si>
    <t>雄工側門臨中華電信機房</t>
  </si>
  <si>
    <t>大昌一路，面對鼎金國小側門左側人行道上</t>
  </si>
  <si>
    <t>餐旅國中正門右邊</t>
  </si>
  <si>
    <t>學府路與大鵬路口</t>
  </si>
  <si>
    <t>班超路上(岡山中街與忠誠路284巷中間)</t>
  </si>
  <si>
    <t>高雄中學大門右側</t>
  </si>
  <si>
    <t>十全與自由路周邊商圈</t>
  </si>
  <si>
    <t>客家文物會館左側</t>
  </si>
  <si>
    <t>明堤公園-明仁路上</t>
  </si>
  <si>
    <t>博愛三路與至真路交叉路口</t>
  </si>
  <si>
    <t>左營國小側門(實踐路與軍校路交叉口)</t>
  </si>
  <si>
    <t>澄清路與光復路二段交叉路口</t>
  </si>
  <si>
    <t>面對澄清湖正門左邊-意向園區</t>
  </si>
  <si>
    <t>鳳凌廣場左邊</t>
  </si>
  <si>
    <t>鳳山區國泰路2段136號對面(東區稅捐稽徵處)</t>
  </si>
  <si>
    <t>高雄市三民區同盟一路(高醫大學大門旁)</t>
  </si>
  <si>
    <t>高雄市鼓山區美術東一路(中華藝術學校後面)</t>
  </si>
  <si>
    <t>高雄市左營區環潭路蓮池潭風景區管理所後方入口處</t>
  </si>
  <si>
    <t>左營區裕誠路與辛亥路辛亥停車場旁</t>
  </si>
  <si>
    <t>左營區明誠二路距光興街口52米處</t>
  </si>
  <si>
    <t>鼓山區文信路與華榮路口華榮公園旁</t>
  </si>
  <si>
    <t>鼓山區神農路與龍勝路口</t>
  </si>
  <si>
    <t>高雄市鳳山區曹公路與協和路交叉口</t>
  </si>
  <si>
    <t>三民區博愛一路距同盟一路約80米處</t>
  </si>
  <si>
    <t>三民區九如一路科工館前</t>
  </si>
  <si>
    <t>中山大學內</t>
  </si>
  <si>
    <t>高雄市鹽埕區七賢三路高雄港務警察局對面</t>
  </si>
  <si>
    <t>高雄市盬埕區下水道展示館前</t>
  </si>
  <si>
    <t>三民區河東路距河北二路約72米處</t>
  </si>
  <si>
    <t>前金區中正四路與市中一路(市警局前)</t>
  </si>
  <si>
    <t>前金區河東路與民生二路國賓飯店旁</t>
  </si>
  <si>
    <t>前金區五福三路高雄女中前</t>
  </si>
  <si>
    <t>新興區成功里七賢一路距忠孝一路50米處</t>
  </si>
  <si>
    <t>新興區榮治里中山一路距民生一路30米處</t>
  </si>
  <si>
    <t>苓雅區德生里民權一路與民生一路東南側人行道上</t>
  </si>
  <si>
    <t>高雄市苓雅區四維三路與永定街口</t>
  </si>
  <si>
    <t>高雄市苓雅區和平一路文化中心旁</t>
  </si>
  <si>
    <t>高雄市前鎮區成功二路距新光路18米處</t>
  </si>
  <si>
    <t>前鎮區民權二路與二聖二路民權公園旁</t>
  </si>
  <si>
    <t>前鎮區民裕街與一心一路口</t>
  </si>
  <si>
    <t>前鎮區中華五路與復興三路家樂福前</t>
  </si>
  <si>
    <t>高雄市前鎮區成功二路與時代大道口東北側</t>
  </si>
  <si>
    <t>Index</t>
  </si>
  <si>
    <t>No. 485, Bo'ai 2nd Rd, Zuoying District, Kaohsiung City, 813</t>
  </si>
  <si>
    <t>22.659020, 120.302923</t>
  </si>
  <si>
    <t>No. 122, Bo'ai 2nd Rd, Zuoying District, Kaohsiung City, 813</t>
  </si>
  <si>
    <t>22.648298, 120.303367</t>
  </si>
  <si>
    <t>MRT Houyi Station</t>
  </si>
  <si>
    <t>22.641154, 120.302685</t>
  </si>
  <si>
    <t>No. 349, Jiuru 2nd Rd, Sanmin District, Kaohsiung City, 807</t>
  </si>
  <si>
    <t>22.632498, 120.301797</t>
  </si>
  <si>
    <t>No. 334, Bo'ai 3rd Rd, Zuoying District, Kaohsiung City, 813</t>
  </si>
  <si>
    <t>MRT Sanduo Shopping District Station</t>
  </si>
  <si>
    <t>22.611561, 120.305086</t>
  </si>
  <si>
    <t>No. 1, Xinguang Rd, Qianzhen District, Kaohsiung City, 806</t>
  </si>
  <si>
    <t>MRT Formosa Boulevard Station (Taiwan Business Bank)</t>
  </si>
  <si>
    <t>No. 153, Zhongshan 1st Rd, Xinxing Distric, Kaohsiung City, 800</t>
  </si>
  <si>
    <t>Singuang Zhongshan</t>
  </si>
  <si>
    <t>MRT Ecological District Taiwan Station</t>
  </si>
  <si>
    <t>MRT Aozidi Forest Park Station</t>
  </si>
  <si>
    <t>Rear of Rail Station (Kaohsiung Main Station)</t>
  </si>
  <si>
    <t>MRT Central Park Station</t>
  </si>
  <si>
    <t>MRT Shihjia Station</t>
  </si>
  <si>
    <t>22.605805, 120.308695</t>
  </si>
  <si>
    <t>No. 142, Zhongshan 3rd Rd, Qianzhen District, Kaohsiung City, 806</t>
  </si>
  <si>
    <t>MRT Kaisyuan Station</t>
  </si>
  <si>
    <t>22.598529, 120.313756</t>
  </si>
  <si>
    <t>No. 31, Zhongshan 3rd Rd, Qianzhen District, Kaohsiung City, 806</t>
  </si>
  <si>
    <t>MRT Sizihwan Station</t>
  </si>
  <si>
    <t>22.622468, 120.275366</t>
  </si>
  <si>
    <t>MRT Yanchengpu Station</t>
  </si>
  <si>
    <t>No. 54, Dayong Rd, Kaohsiung City</t>
  </si>
  <si>
    <t>22.622540, 120.283237</t>
  </si>
  <si>
    <t>MRT City Council Former Site  Station</t>
  </si>
  <si>
    <t>22.629657, 120.295416</t>
  </si>
  <si>
    <t>No. 121, Zhonghua 3rd Rd, Qianjin Dist, Kaohsiung City,  801 (宏祐診所)</t>
  </si>
  <si>
    <t>Sinsing District Office</t>
  </si>
  <si>
    <t>22.631040, 120.310215</t>
  </si>
  <si>
    <t>MRT Cultural Center Station</t>
  </si>
  <si>
    <t>No. 169, Heping 1st Rd, Lingya District, Kaohsiung City, 802</t>
  </si>
  <si>
    <t>22.629701, 120.318040</t>
  </si>
  <si>
    <t>MRT Wukuaicuo Station</t>
  </si>
  <si>
    <t>22.628806, 120.329249</t>
  </si>
  <si>
    <t>No. 201, Zhongzheng 1st Rd, Lingya District, Kaohsiung City, 802</t>
  </si>
  <si>
    <t>MRT Martial Arts Stadium Station</t>
  </si>
  <si>
    <t>22.627917, 120.333342</t>
  </si>
  <si>
    <t>No. 100, Zhongzheng 1st Rd, Lingya District, Kaohsiung City, 802</t>
  </si>
  <si>
    <t>MRT Weiwuying Station</t>
  </si>
  <si>
    <t>22.625131, 120.341058</t>
  </si>
  <si>
    <t>No. 7, Zhongzheng 1st Rd, Lingya District, Kaohsiung City, 802</t>
  </si>
  <si>
    <t>Da-Dong Art Center -01</t>
  </si>
  <si>
    <t>Da-Dong Art Center -02</t>
  </si>
  <si>
    <t>22.625057, 120.363415</t>
  </si>
  <si>
    <t>22.625126, 120.362518</t>
  </si>
  <si>
    <t>B1 MRT Fongshan  Station</t>
  </si>
  <si>
    <t>22.625881, 120.355886</t>
  </si>
  <si>
    <t>No. 446, Guangyuan Rd, Fengshan,  Kaohsiung City, 802</t>
  </si>
  <si>
    <t>MRT Fongshan West Station</t>
  </si>
  <si>
    <t>No. 238, Ziyou Rd, Fengshan District, Kaohsiung City, 830</t>
  </si>
  <si>
    <t>22.625485, 120.348471</t>
  </si>
  <si>
    <t>MRT Siaogang Station</t>
  </si>
  <si>
    <t>22.564813, 120.353850</t>
  </si>
  <si>
    <t>MRT Cingpu Station</t>
  </si>
  <si>
    <t>22.744681, 120.317706</t>
  </si>
  <si>
    <t>MRT Gangshan South Station</t>
  </si>
  <si>
    <t>22.780525, 120.300580</t>
  </si>
  <si>
    <t>MRT World Games Station</t>
  </si>
  <si>
    <t>22.701009, 120.302537</t>
  </si>
  <si>
    <t>Shiyun Blvd, Nanzi District, Kaohsiung City, 811</t>
  </si>
  <si>
    <t>MRT Nanzih Export Processing Zone Station</t>
  </si>
  <si>
    <t>22.718618, 120.306182</t>
  </si>
  <si>
    <t>MRT Metropolitan Park Station</t>
  </si>
  <si>
    <t>No. 1855, Gaonan Rd, Nanzi District, Kaohsiung City, 811</t>
  </si>
  <si>
    <t>22.729696, 120.320496</t>
  </si>
  <si>
    <t>MRT Kaohsiung International Airport Station</t>
  </si>
  <si>
    <t>22.569482, 120.344423</t>
  </si>
  <si>
    <t>No. 29, Zhongshan 4th Rd, Xiaogang District, Kaohsiung City, 812</t>
  </si>
  <si>
    <t>MRT Caoya Station</t>
  </si>
  <si>
    <t>22.578197, 120.330195</t>
  </si>
  <si>
    <t>Cuiheng South Rd, Qianzhen District, Kaohsiung City, 806</t>
  </si>
  <si>
    <t>Fucheng Senior High School</t>
  </si>
  <si>
    <t>22.589012, 120.322960</t>
  </si>
  <si>
    <t>No. 295, Wujia 3rd Rd, Qianzhen District, Kaohsiung City, 806</t>
  </si>
  <si>
    <t>22.631546, 120.303253</t>
  </si>
  <si>
    <t>No. 178-1, Zhongzheng 3rd Rd, Xinxing District, Kaohsiung City, 800</t>
  </si>
  <si>
    <t>22.631013, 120.304158</t>
  </si>
  <si>
    <t>Xinxing Post Office Kaohsiung Branch 901, No. 177, Zhongzheng 3rd Rd, t, Kaohsiung City, 800</t>
  </si>
  <si>
    <t>Mega International Commercial Bank, No. 600-1, Jiachang Rd, Nanzi District, Kaohsiung City, 811</t>
  </si>
  <si>
    <t>Zuoying Station THSR</t>
  </si>
  <si>
    <t>22.686929, 120.307826</t>
  </si>
  <si>
    <t xml:space="preserve">Taiwan High Speed Rail Zuoying Station, No. 105, Gaotie Rd, Zuoying Distr, Kaohsiung City, 813 </t>
  </si>
  <si>
    <t>MRT Kaohsiung Arena Station (2)</t>
  </si>
  <si>
    <t>MRT Kaohsiung Arena Station</t>
  </si>
  <si>
    <t>22.666135, 120.303167</t>
  </si>
  <si>
    <t>MRT Houyi Station (2)</t>
  </si>
  <si>
    <t>22.647864, 120.303389</t>
  </si>
  <si>
    <t>No. 256, Bo'ai 1st Rd, Sanmin District, Kaohsiung City, 807</t>
  </si>
  <si>
    <t>MRT Central Park Station (2)</t>
  </si>
  <si>
    <t>22.623815, 120.301021</t>
  </si>
  <si>
    <t>No. 11, Zhongshan 1st Rd, Qianjin District, Kaohsiung City, 801</t>
  </si>
  <si>
    <t>22.623746, 120.301012</t>
  </si>
  <si>
    <t>MRT Sanduo Shopping District Station(2)</t>
  </si>
  <si>
    <t>22.614101, 120.304591</t>
  </si>
  <si>
    <t>22.614244, 120.304544</t>
  </si>
  <si>
    <t>MRT Cultural Center Station (2)</t>
  </si>
  <si>
    <t>MRT Cianjhen Senior High School  Station</t>
  </si>
  <si>
    <t>22.588195, 120.321919</t>
  </si>
  <si>
    <t>TRA Xinzuoying Station</t>
  </si>
  <si>
    <t>22.688635, 120.307553</t>
  </si>
  <si>
    <t>Zhanqian North Rd, Zuoying District, Kaohsiung City, 813</t>
  </si>
  <si>
    <t>MRT Daliao Station</t>
  </si>
  <si>
    <t>22.622616, 120.389674</t>
  </si>
  <si>
    <t>22.603081, 120.390172</t>
  </si>
  <si>
    <t>No. 151, Jinxue Rd, Kaohsiung City, 831</t>
  </si>
  <si>
    <t>22.682843, 120.312125</t>
  </si>
  <si>
    <t>No. 100, Bo'ai 4th Rd, Zuoying District, Kaohsiung City, 813</t>
  </si>
  <si>
    <t>22.680050, 120.321597</t>
  </si>
  <si>
    <t>No. 137, Rongzong Rd, Zuoying District, Kaohsiung City, 813</t>
  </si>
  <si>
    <t>22.786141, 120.295128</t>
  </si>
  <si>
    <t>No. 1, Renyi Rd, Gangshan District, Kaohsiung City, 820</t>
  </si>
  <si>
    <t>22.785101, 120.291006</t>
  </si>
  <si>
    <t>No. 27, Lane 10, Jieshou Rd, Gangshan District, Kaohsiung City, 820</t>
  </si>
  <si>
    <t>22.790449, 120.296212</t>
  </si>
  <si>
    <t>No. 105, Gangshan Rd, Gangshan District, Kaohsiung City, 820</t>
  </si>
  <si>
    <t>No. 390, Cuiheng North Rd, Qianzhen District, Kaohsiung City, 806</t>
  </si>
  <si>
    <t>22.593921, 120.316146</t>
  </si>
  <si>
    <t>22.593133, 120.307390</t>
  </si>
  <si>
    <t>No. 119, Kaixuan 4th Rd, Qianzhen District, Kaohsiung City, 806</t>
  </si>
  <si>
    <t>Qianzhen Export Processing Zone</t>
  </si>
  <si>
    <t>Zhongsi Rd, Qianzhen District, Kaohsiung City, 806</t>
  </si>
  <si>
    <t>22.601362, 120.291238</t>
  </si>
  <si>
    <t>Qianzhen Export Processing Zone (2)</t>
  </si>
  <si>
    <t>22.622746, 120.327265</t>
  </si>
  <si>
    <t>No. 145, Fude 3rd Rd, Lingya District, Kaohsiung City, 802</t>
  </si>
  <si>
    <t>22.625008, 120.316930</t>
  </si>
  <si>
    <t>22.631045, 120.338467</t>
  </si>
  <si>
    <t xml:space="preserve">No. 11, Wenchang Rd, Lingya District, Kaohsiung City </t>
  </si>
  <si>
    <t>22.625069, 120.308505</t>
  </si>
  <si>
    <t>No. 173, Fuxing 2nd Rd, Xinxing District, Kaohsiung City, 800</t>
  </si>
  <si>
    <t>22.731197, 120.317103</t>
  </si>
  <si>
    <t>No. 105, Demin Rd, Nanzi District, Kaohsiung City, 811</t>
  </si>
  <si>
    <t>22.726190, 120.302529</t>
  </si>
  <si>
    <t>No. 462, Dexian Rd, Nanzi District, Kaohsiung City, 811</t>
  </si>
  <si>
    <t>Fenghsin Senior High School (2)</t>
  </si>
  <si>
    <t>22.614121, 120.344083</t>
  </si>
  <si>
    <t>Xinkang St, Fengshan District, Kaohsiung City, 830</t>
  </si>
  <si>
    <t>Aozihdi Forest Park (2)</t>
  </si>
  <si>
    <t>Zhisheng Rd, Gushan District, Kaohsiung City, 804</t>
  </si>
  <si>
    <t>22.657875, 120.296539</t>
  </si>
  <si>
    <t>22.619440, 120.284709</t>
  </si>
  <si>
    <t>No. 6, Bixin St, Yancheng District, Kaohsiung City, 803</t>
  </si>
  <si>
    <t>22.877094, 120.213994</t>
  </si>
  <si>
    <t>Jiading District, Kaohsiung City, 852</t>
  </si>
  <si>
    <t>22.567536, 120.362801</t>
  </si>
  <si>
    <t>No. 482, Shanming Rd, XiaogangDistrict,  Kaohsiung City, 812</t>
  </si>
  <si>
    <t>22.672136, 120.311426</t>
  </si>
  <si>
    <t>No. 210, Ziyou 3rd Rd, Zuoying District, Kaohsiung City, 813</t>
  </si>
  <si>
    <t>Gongyuan Rd, Niaosong District, Kaohsiung City, 833</t>
  </si>
  <si>
    <t>22.648474, 120.354010</t>
  </si>
  <si>
    <t>City Government - Fongshan Administration Center (2)</t>
  </si>
  <si>
    <t>22.629667, 120.344359</t>
  </si>
  <si>
    <t>22.655824, 120.351409</t>
  </si>
  <si>
    <t>Chengcing Lake 2</t>
  </si>
  <si>
    <t>22.660628, 120.341526</t>
  </si>
  <si>
    <t>Xi'an Rd, Niaosong District, Kaohsiung City, 833</t>
  </si>
  <si>
    <t>22.668692, 120.345813</t>
  </si>
  <si>
    <t>22.605390, 120.395501</t>
  </si>
  <si>
    <t>No. 492, Fenglin 3rd Rd, Daliao District, Kaohsiung City, 831</t>
  </si>
  <si>
    <t>22.654705, 120.282973</t>
  </si>
  <si>
    <t>No. 265, Museum of Fine Arts, Gushan District, Kaohsiung City, 804</t>
  </si>
  <si>
    <t>22.686005, 120.313850</t>
  </si>
  <si>
    <t>22.800168, 120.359436</t>
  </si>
  <si>
    <t>No. 204, Gongcheng Rd, Yanchao District, Kaohsiung City, 824</t>
  </si>
  <si>
    <t>22.658610, 120.346038</t>
  </si>
  <si>
    <t>22.640006, 120.346343</t>
  </si>
  <si>
    <t>22.642980, 120.339526</t>
  </si>
  <si>
    <t>No. 201, Yihua Rd, Sanmin District, Kaohsiung City, 807</t>
  </si>
  <si>
    <t>22.642470, 120.333535</t>
  </si>
  <si>
    <t>Lane 91, Shouchang Rd, Sanmin District, Kaohsiung City, 807</t>
  </si>
  <si>
    <t>22.663827, 120.315077</t>
  </si>
  <si>
    <t>22.562249, 120.334387</t>
  </si>
  <si>
    <t>No. 24, Pinghe 5th Rd, Xiaogang District, Kaohsiung City, 812</t>
  </si>
  <si>
    <t>22.565312, 120.338327</t>
  </si>
  <si>
    <t>22.606005, 120.427341</t>
  </si>
  <si>
    <t>22.633793, 120.392158</t>
  </si>
  <si>
    <t>National Kaohsiung Normal University (2)</t>
  </si>
  <si>
    <t>22.624131, 120.317242</t>
  </si>
  <si>
    <t>Guanghua Park (2)</t>
  </si>
  <si>
    <t>22.608511, 120.316356</t>
  </si>
  <si>
    <t>22.608204, 120.272303</t>
  </si>
  <si>
    <t>No. 482, Zhongzhou 3rd Rd, Qijin District, Kaohsiung City, 805</t>
  </si>
  <si>
    <t>22.612892, 120.342652</t>
  </si>
  <si>
    <t>No. 257, Xinfu Rd, Fengshan District, Kaohsiung City, 830</t>
  </si>
  <si>
    <t>22.620019, 120.311563</t>
  </si>
  <si>
    <t>No. 6, Siwei 3rd Rd, Lingya District, Kaohsiung City, 802</t>
  </si>
  <si>
    <t>Kaohsiung Girls' Senior High School (2)</t>
  </si>
  <si>
    <t>22.620777, 120.293669</t>
  </si>
  <si>
    <t>No. 122, Wufu 3rd Rd, Qianjin District, Kaohsiung City, 801</t>
  </si>
  <si>
    <t>Kaohsiung Medical University (2)</t>
  </si>
  <si>
    <t>22.649914, 120.308996</t>
  </si>
  <si>
    <t>No.1 Park, Tongmeng 1st Rd, Kaohsiung City, 807</t>
  </si>
  <si>
    <t>Kongying Rd, Zuoying District, Kaohsiung City, 813</t>
  </si>
  <si>
    <t>22.688007, 120.297527</t>
  </si>
  <si>
    <t>National Kaohsiung Marine University Cijin District (1)</t>
  </si>
  <si>
    <t>22.635408, 120.313385</t>
  </si>
  <si>
    <t>No. 144, Minzu 2nd Rd, Xinxing District, Kaohsiung City, 800</t>
  </si>
  <si>
    <t>22.732612, 120.284433</t>
  </si>
  <si>
    <t>No. 700, Kaohsiung Daxue Rd, Nanzi District, Kaohsiung City, 811</t>
  </si>
  <si>
    <t>22.727256, 120.291998</t>
  </si>
  <si>
    <t>Lantian Rd, Nanzi District, Kaohsiung City, 811</t>
  </si>
  <si>
    <t>22.655868, 120.299945</t>
  </si>
  <si>
    <t>No. 871, Nanping Rd, Gushan District, Kaohsiung City, 804</t>
  </si>
  <si>
    <t>22.633115, 120.323310</t>
  </si>
  <si>
    <t>No. 201-8, Jianguo 1st Rd, Lingya District, Kaohsiung City, 802</t>
  </si>
  <si>
    <t>22.616451, 120.324987</t>
  </si>
  <si>
    <t>No. 186, Yingming Rd, Lingya District, Kaohsiung City, 802</t>
  </si>
  <si>
    <t>22.615752, 120.299217</t>
  </si>
  <si>
    <t>Siweixianghua Park, Lingya District, Kaohsiung City, 802</t>
  </si>
  <si>
    <t>22.650777, 120.348765</t>
  </si>
  <si>
    <t>Chengqing Rd, Niaosong District, Kaohsiung City, 833</t>
  </si>
  <si>
    <t>22.573838, 120.320273</t>
  </si>
  <si>
    <t>No. 210, Houping Rd, Qianzhen District, Kaohsiung City, 806</t>
  </si>
  <si>
    <t>22.572394, 120.317632</t>
  </si>
  <si>
    <t>No. 56-14, Yugang East 2nd Rd, Qianzhen District, Kaohsiung City, 806</t>
  </si>
  <si>
    <t>22.613846, 120.318234</t>
  </si>
  <si>
    <t>No. 255, Guanghua 2nd Rd, Qianzhen District, Kaohsiung City, 806</t>
  </si>
  <si>
    <t>22.693556, 120.295554</t>
  </si>
  <si>
    <t>No. 55, Haigong Rd, Zuoying District, Kaohsiung City, 813</t>
  </si>
  <si>
    <t>22.678088, 120.299861</t>
  </si>
  <si>
    <t>No. 801, Chongde Rd, Zuoying District, Kaohsiung City, 813</t>
  </si>
  <si>
    <t>22.754487, 120.332830</t>
  </si>
  <si>
    <t>No. 2, Zhuoyue Rd, Nanzi District, Kaohsiung City, 811</t>
  </si>
  <si>
    <t>22.721476, 120.296471</t>
  </si>
  <si>
    <t>No. 42, Shoumin Rd, Nanzi District, Kaohsiung City, 811</t>
  </si>
  <si>
    <t>22.702724, 120.292649</t>
  </si>
  <si>
    <t>No. 610, Junxiao Rd, Zuoying District, Kaohsiung City, 813</t>
  </si>
  <si>
    <t>22.797477, 120.294727</t>
  </si>
  <si>
    <t>No. 1, Lane 345, Gangshan Rd, Gangshan District, Kaohsiung City, 820</t>
  </si>
  <si>
    <t>22.618149, 120.265968</t>
  </si>
  <si>
    <t>22.680052, 120.291956</t>
  </si>
  <si>
    <t>No. 98, Shengli Rd, Zuoying District, Kaohsiung City, 813</t>
  </si>
  <si>
    <t>22.715702, 120.290219</t>
  </si>
  <si>
    <t>No. 71, Lanchang Rd, Nanzi District, Kaohsiung City, 811</t>
  </si>
  <si>
    <t>22.554201, 120.347616</t>
  </si>
  <si>
    <t>22.665072, 120.321824</t>
  </si>
  <si>
    <t>No. 123-125, Dingli Rd, Sanmin District, Kaohsiung City, 807</t>
  </si>
  <si>
    <t>22.671160, 120.320919</t>
  </si>
  <si>
    <t>No. 593, Dingzhong Rd, Sanmin District, Kaohsiung City, 807</t>
  </si>
  <si>
    <t>22.659636, 120.324685</t>
  </si>
  <si>
    <t>No. 322, Mingcheng 1st Rd, Sanmin District, Kaohsiung City, 807</t>
  </si>
  <si>
    <t>22.650389, 120.325545</t>
  </si>
  <si>
    <t>22.656117, 120.322838</t>
  </si>
  <si>
    <t>No. 214, Dachang 1st Rd, Sanmin District, Kaohsiung City, 807</t>
  </si>
  <si>
    <t>22.566212, 120.371727</t>
  </si>
  <si>
    <t>No. 40, Songhe Rd, Xiaogang District, Kaohsiung City, 812</t>
  </si>
  <si>
    <t>22.565160, 120.358524</t>
  </si>
  <si>
    <t>No. 23, Dapeng Rd, Xiaogang District, Kaohsiung City, 812</t>
  </si>
  <si>
    <t>22.600749, 120.325725</t>
  </si>
  <si>
    <t>No. 53, Banchao Rd, Qianzhen District, Kaohsiung City, 806</t>
  </si>
  <si>
    <t>22.637871, 120.298712</t>
  </si>
  <si>
    <t>No. 50, Jianguo 3rd Rd, Sanmin District, Kaohsiung City, 807</t>
  </si>
  <si>
    <t>22.645297, 120.306827</t>
  </si>
  <si>
    <t>No. 200-202, Shiquan 1st Rd, Sanmin District, Kaohsiung City, 807</t>
  </si>
  <si>
    <t>22.650631, 120.295869</t>
  </si>
  <si>
    <t>22.662892, 120.312270</t>
  </si>
  <si>
    <t>22.672230, 120.304348</t>
  </si>
  <si>
    <t>22.629616, 120.344387</t>
  </si>
  <si>
    <t>No. 190, Chengqing Rd, Fengshan District, Kaohsiung City, 830</t>
  </si>
  <si>
    <t>22.690659, 120.292489</t>
  </si>
  <si>
    <t>No. 71, Junxiao Rd, Zuoying District, Kaohsiung City, 813</t>
  </si>
  <si>
    <t>22.653318, 120.349594</t>
  </si>
  <si>
    <t>22.623448, 120.355975</t>
  </si>
  <si>
    <t>No. 45, Tiyu Rd, Fengshan District, Kaohsiung City, 830</t>
  </si>
  <si>
    <t>22.649256, 120.309882</t>
  </si>
  <si>
    <t>No. 100, Shiquan 1st Rd, Sanmin District, Kaohsiung City, 807</t>
  </si>
  <si>
    <t>22.619987, 120.347692</t>
  </si>
  <si>
    <t>No. 136, Section 2, Guotai Rd, Fengshan District, Kaohsiung City, 830</t>
  </si>
  <si>
    <t>22.656150, 120.288746</t>
  </si>
  <si>
    <t>No. 66, Meishu East 1st Rd, Gushan District, Kaohsiung City, 804</t>
  </si>
  <si>
    <t>22.660773, 120.310978</t>
  </si>
  <si>
    <t>No. 176, Mingcheng 2nd Rd, Zuoying District, Kaohsiung City, 813</t>
  </si>
  <si>
    <t>22.664506, 120.296741</t>
  </si>
  <si>
    <t>No. 827, Wenxin Rd, Gushan District, Kaohsiung City, 804</t>
  </si>
  <si>
    <t>22.664589, 120.310117</t>
  </si>
  <si>
    <t>No. 213, Yucheng Rd, Zuoying District, Kaohsiung City, 813</t>
  </si>
  <si>
    <t>22.657869, 120.296597</t>
  </si>
  <si>
    <t>22.630608, 120.357934</t>
  </si>
  <si>
    <t>No. 30, Xiehe Rd, Fengshan District, Kaohsiung City, 830</t>
  </si>
  <si>
    <t>22.652809, 120.303865</t>
  </si>
  <si>
    <t>22.639669, 120.323605</t>
  </si>
  <si>
    <t>22.624281, 120.265539</t>
  </si>
  <si>
    <t>22.618874, 120.278631</t>
  </si>
  <si>
    <t>No. 23, Penglai Rd, Kaohsiung City</t>
  </si>
  <si>
    <t>22.623018, 120.289130</t>
  </si>
  <si>
    <t>22.632940, 120.286102</t>
  </si>
  <si>
    <t>No. 356, Hedong Rd, Sanmin District, Kaohsiung City, 807</t>
  </si>
  <si>
    <t>22.627779, 120.290857</t>
  </si>
  <si>
    <t>No. 260, Zhongzheng 4th Rd, Qianjin District, Kaohsiung City, 801</t>
  </si>
  <si>
    <t>22.624076, 120.290358</t>
  </si>
  <si>
    <t>No. 176, Hedong Rd, Qianjin District, Kaohsiung City, 801</t>
  </si>
  <si>
    <t>22.620818, 120.293526</t>
  </si>
  <si>
    <t>22.634289, 120.306093</t>
  </si>
  <si>
    <t>No.11 Park, Xinxing District, Kaohsiung City</t>
  </si>
  <si>
    <t>22.627866, 120.301470</t>
  </si>
  <si>
    <t>No. 29, Zhongshan 1st Rd, Xinxing District, Kaohsiung City, 800</t>
  </si>
  <si>
    <t>22.627271, 120.310848</t>
  </si>
  <si>
    <t>No. 251, Minquan 1st Rd, Xinxing District, Kaohsiung City, 800</t>
  </si>
  <si>
    <t>22.619936, 120.311500</t>
  </si>
  <si>
    <t>22.610302, 120.299301</t>
  </si>
  <si>
    <t>No. 98, Chenggong 2nd Rd, Lingya District, Kaohsiung City, 802</t>
  </si>
  <si>
    <t>22.624946, 120.316919</t>
  </si>
  <si>
    <t>22.613734, 120.314140</t>
  </si>
  <si>
    <t>No. 555, Minquan 2nd Rd, Qianzhen District, Kaohsiung City, 806</t>
  </si>
  <si>
    <t>22.608366, 120.316252</t>
  </si>
  <si>
    <t>Minyu St, Qianzhen District, Kaohsiung City, 806</t>
  </si>
  <si>
    <t>22.605213, 120.305002</t>
  </si>
  <si>
    <t>No. 1111, Zhonghua 5th Rd, Qianzhen District, Kaohsiung City, 806</t>
  </si>
  <si>
    <t>22.595693, 120.304991</t>
  </si>
  <si>
    <t>No. 2, Chenggong 2nd Rd, Qianzhen District, Kaohsiung City, 806</t>
  </si>
  <si>
    <t>22.676771, 120.306411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</si>
</sst>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0.0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333333"/>
      <name val="Arial"/>
      <family val="2"/>
    </font>
    <font>
      <sz val="11"/>
      <color theme="1"/>
      <name val="Arial"/>
      <family val="2"/>
    </font>
    <font>
      <sz val="11"/>
      <color rgb="FF00B05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0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0" fontId="7" fillId="0" borderId="0"/>
  </cellStyleXfs>
  <cellXfs count="50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2" xfId="0" applyFont="1" applyBorder="1"/>
    <xf numFmtId="0" fontId="0" fillId="0" borderId="4" xfId="0" applyBorder="1"/>
    <xf numFmtId="0" fontId="0" fillId="0" borderId="5" xfId="0" applyBorder="1"/>
    <xf numFmtId="0" fontId="0" fillId="0" borderId="1" xfId="0" quotePrefix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3" fillId="0" borderId="0" xfId="0" applyFont="1"/>
    <xf numFmtId="165" fontId="0" fillId="0" borderId="0" xfId="2" applyNumberFormat="1" applyFont="1"/>
    <xf numFmtId="165" fontId="0" fillId="0" borderId="0" xfId="2" applyNumberFormat="1" applyFont="1" applyBorder="1"/>
    <xf numFmtId="0" fontId="0" fillId="0" borderId="0" xfId="0" applyFont="1" applyBorder="1"/>
    <xf numFmtId="0" fontId="5" fillId="0" borderId="0" xfId="0" applyFont="1"/>
    <xf numFmtId="0" fontId="5" fillId="0" borderId="0" xfId="0" applyNumberFormat="1" applyFont="1"/>
    <xf numFmtId="0" fontId="0" fillId="0" borderId="0" xfId="0" applyAlignment="1">
      <alignment textRotation="45"/>
    </xf>
    <xf numFmtId="0" fontId="6" fillId="0" borderId="0" xfId="0" applyFont="1"/>
    <xf numFmtId="164" fontId="0" fillId="0" borderId="0" xfId="2" applyNumberFormat="1" applyFont="1" applyBorder="1"/>
    <xf numFmtId="0" fontId="8" fillId="3" borderId="6" xfId="3" applyFont="1" applyFill="1" applyBorder="1" applyAlignment="1">
      <alignment horizontal="center"/>
    </xf>
    <xf numFmtId="0" fontId="6" fillId="4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6" fillId="0" borderId="0" xfId="0" applyNumberFormat="1" applyFont="1"/>
    <xf numFmtId="0" fontId="0" fillId="0" borderId="0" xfId="0" applyFont="1"/>
    <xf numFmtId="2" fontId="0" fillId="0" borderId="0" xfId="0" applyNumberFormat="1"/>
    <xf numFmtId="0" fontId="0" fillId="0" borderId="0" xfId="0" applyNumberFormat="1"/>
    <xf numFmtId="166" fontId="0" fillId="0" borderId="0" xfId="0" applyNumberFormat="1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10" fillId="0" borderId="0" xfId="0" applyFont="1"/>
    <xf numFmtId="0" fontId="11" fillId="0" borderId="0" xfId="0" applyFont="1"/>
    <xf numFmtId="0" fontId="12" fillId="0" borderId="0" xfId="0" applyFont="1"/>
    <xf numFmtId="0" fontId="14" fillId="0" borderId="0" xfId="0" applyFont="1" applyAlignment="1">
      <alignment horizontal="left"/>
    </xf>
    <xf numFmtId="0" fontId="14" fillId="0" borderId="0" xfId="0" applyFont="1"/>
    <xf numFmtId="0" fontId="14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/>
    <xf numFmtId="0" fontId="16" fillId="0" borderId="0" xfId="0" applyFont="1" applyAlignment="1">
      <alignment horizontal="right"/>
    </xf>
    <xf numFmtId="0" fontId="16" fillId="0" borderId="0" xfId="0" applyFont="1"/>
    <xf numFmtId="0" fontId="17" fillId="0" borderId="0" xfId="0" applyFont="1"/>
    <xf numFmtId="0" fontId="14" fillId="0" borderId="0" xfId="0" applyFont="1" applyAlignment="1">
      <alignment wrapText="1"/>
    </xf>
    <xf numFmtId="0" fontId="17" fillId="0" borderId="0" xfId="0" applyFont="1" applyAlignment="1">
      <alignment horizontal="right"/>
    </xf>
    <xf numFmtId="0" fontId="13" fillId="0" borderId="0" xfId="0" applyFont="1"/>
    <xf numFmtId="0" fontId="13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14" fillId="0" borderId="0" xfId="0" applyFont="1" applyAlignment="1">
      <alignment vertical="top"/>
    </xf>
  </cellXfs>
  <cellStyles count="4">
    <cellStyle name="Comma" xfId="2" builtinId="3"/>
    <cellStyle name="Hyperlink" xfId="1" builtinId="8"/>
    <cellStyle name="Normal" xfId="0" builtinId="0"/>
    <cellStyle name="Normal_AddressFiller" xfId="3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numFmt numFmtId="165" formatCode="_-* #,##0_-;\-* #,##0_-;_-* &quot;-&quot;??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53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.uk/maps?&amp;ll=51.5073346,-0.1276831&amp;t=s&amp;z=15&amp;output=embed&amp;iwloc=ss"/>
</ax:ocx>
</file>

<file path=xl/activeX/activeX2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79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m/maps/api/staticmap?&amp;zoom=15&amp;size=525x330&amp;maptype=roadmap&amp;markers=color:red|label:A|51.5073346,-0.1276831&amp;sensor=false"/>
</ax:ocx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57150</xdr:rowOff>
        </xdr:from>
        <xdr:to>
          <xdr:col>6</xdr:col>
          <xdr:colOff>209550</xdr:colOff>
          <xdr:row>29</xdr:row>
          <xdr:rowOff>133350</xdr:rowOff>
        </xdr:to>
        <xdr:sp macro="" textlink="">
          <xdr:nvSpPr>
            <xdr:cNvPr id="1026" name="WebBrows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57150</xdr:rowOff>
        </xdr:from>
        <xdr:to>
          <xdr:col>13</xdr:col>
          <xdr:colOff>142875</xdr:colOff>
          <xdr:row>29</xdr:row>
          <xdr:rowOff>123825</xdr:rowOff>
        </xdr:to>
        <xdr:sp macro="" textlink="">
          <xdr:nvSpPr>
            <xdr:cNvPr id="1028" name="WebBrowse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381000</xdr:colOff>
          <xdr:row>44</xdr:row>
          <xdr:rowOff>76200</xdr:rowOff>
        </xdr:from>
        <xdr:to>
          <xdr:col>111</xdr:col>
          <xdr:colOff>95250</xdr:colOff>
          <xdr:row>46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Table_1" connectionId="1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1:E7" totalsRowShown="0">
  <autoFilter ref="A1:E7"/>
  <tableColumns count="5">
    <tableColumn id="1" name="Location"/>
    <tableColumn id="2" name="Lat/long">
      <calculatedColumnFormula>G_LATLNG(A2)</calculatedColumnFormula>
    </tableColumn>
    <tableColumn id="3" name="Lat" dataDxfId="12">
      <calculatedColumnFormula>G_LAT(A2)</calculatedColumnFormula>
    </tableColumn>
    <tableColumn id="4" name="Long" dataDxfId="11">
      <calculatedColumnFormula>G_LONG(A2)</calculatedColumnFormula>
    </tableColumn>
    <tableColumn id="5" name="Address" dataDxfId="10">
      <calculatedColumnFormula>G_ADDRESS(Table1[[#This Row],[Location]])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G8" totalsRowShown="0" dataDxfId="9" dataCellStyle="Comma">
  <autoFilter ref="A1:G8"/>
  <tableColumns count="7">
    <tableColumn id="1" name="Distance matrix" dataDxfId="8" dataCellStyle="Comma"/>
    <tableColumn id="2" name="22.660976,120.310470" dataDxfId="7" dataCellStyle="Comma">
      <calculatedColumnFormula>G_Duration(A2,A2)</calculatedColumnFormula>
    </tableColumn>
    <tableColumn id="3" name="Béziers" dataDxfId="6" dataCellStyle="Comma"/>
    <tableColumn id="4" name="Köln" dataDxfId="5" dataCellStyle="Comma"/>
    <tableColumn id="5" name="Straßburg" dataDxfId="4" dataCellStyle="Comma"/>
    <tableColumn id="6" name="Almuñecar" dataDxfId="3" dataCellStyle="Comma"/>
    <tableColumn id="7" name="Alcobaça" dataDxfId="2" dataCellStyle="Comma">
      <calculatedColumnFormula>G_DISTANCE($A2,G$1)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13:B26" totalsRowShown="0" dataDxfId="1">
  <autoFilter ref="B13:B26"/>
  <tableColumns count="1">
    <tableColumn id="1" name="Select loca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showGridLines="0" workbookViewId="0">
      <selection activeCell="E15" sqref="E15"/>
    </sheetView>
  </sheetViews>
  <sheetFormatPr defaultRowHeight="15" x14ac:dyDescent="0.25"/>
  <cols>
    <col min="1" max="1" width="14.7109375" customWidth="1"/>
    <col min="2" max="2" width="23.7109375" customWidth="1"/>
    <col min="3" max="4" width="15.28515625" customWidth="1"/>
    <col min="5" max="5" width="27.5703125" bestFit="1" customWidth="1"/>
  </cols>
  <sheetData>
    <row r="1" spans="1:5" x14ac:dyDescent="0.25">
      <c r="A1" t="s">
        <v>44</v>
      </c>
      <c r="B1" t="s">
        <v>45</v>
      </c>
      <c r="C1" t="s">
        <v>46</v>
      </c>
      <c r="D1" t="s">
        <v>47</v>
      </c>
      <c r="E1" t="s">
        <v>91</v>
      </c>
    </row>
    <row r="2" spans="1:5" x14ac:dyDescent="0.25">
      <c r="A2" t="s">
        <v>41</v>
      </c>
      <c r="B2" t="str">
        <f t="shared" ref="B2:B7" si="0">G_LATLNG(A2)</f>
        <v>51.5073509,-0.1277583</v>
      </c>
      <c r="C2">
        <f t="shared" ref="C2:C7" si="1">G_LAT(A2)</f>
        <v>51.507350899999999</v>
      </c>
      <c r="D2">
        <f t="shared" ref="D2:D7" si="2">G_LONG(A2)</f>
        <v>-0.12775829999999999</v>
      </c>
      <c r="E2" t="str">
        <f>G_ADDRESS(Table1[[#This Row],[Location]])</f>
        <v>London, UK</v>
      </c>
    </row>
    <row r="3" spans="1:5" x14ac:dyDescent="0.25">
      <c r="A3" t="s">
        <v>40</v>
      </c>
      <c r="B3" t="str">
        <f t="shared" si="0"/>
        <v>48.8566140,2.3522219</v>
      </c>
      <c r="C3">
        <f t="shared" si="1"/>
        <v>48.856614</v>
      </c>
      <c r="D3">
        <f t="shared" si="2"/>
        <v>2.3522219</v>
      </c>
      <c r="E3" t="str">
        <f>G_ADDRESS(Table1[[#This Row],[Location]])</f>
        <v>Paris, France</v>
      </c>
    </row>
    <row r="4" spans="1:5" x14ac:dyDescent="0.25">
      <c r="A4" t="s">
        <v>42</v>
      </c>
      <c r="B4" t="str">
        <f t="shared" si="0"/>
        <v>41.9027835,12.4963655</v>
      </c>
      <c r="C4">
        <f t="shared" si="1"/>
        <v>41.902783499999998</v>
      </c>
      <c r="D4">
        <f t="shared" si="2"/>
        <v>12.4963655</v>
      </c>
      <c r="E4" t="str">
        <f>G_ADDRESS(Table1[[#This Row],[Location]])</f>
        <v>Rome, Italy</v>
      </c>
    </row>
    <row r="5" spans="1:5" x14ac:dyDescent="0.25">
      <c r="A5" t="s">
        <v>48</v>
      </c>
      <c r="B5" t="str">
        <f t="shared" si="0"/>
        <v>45.4654219,9.1859243</v>
      </c>
      <c r="C5">
        <f t="shared" si="1"/>
        <v>45.465421900000003</v>
      </c>
      <c r="D5">
        <f t="shared" si="2"/>
        <v>9.1859242999999999</v>
      </c>
      <c r="E5" t="str">
        <f>G_ADDRESS(Table1[[#This Row],[Location]])</f>
        <v>Milan, Italy</v>
      </c>
    </row>
    <row r="6" spans="1:5" x14ac:dyDescent="0.25">
      <c r="A6" t="s">
        <v>49</v>
      </c>
      <c r="B6" t="str">
        <f t="shared" si="0"/>
        <v>48.1351253,11.5819806</v>
      </c>
      <c r="C6">
        <f t="shared" si="1"/>
        <v>48.135125299999999</v>
      </c>
      <c r="D6">
        <f t="shared" si="2"/>
        <v>11.5819806</v>
      </c>
      <c r="E6" t="str">
        <f>G_ADDRESS(Table1[[#This Row],[Location]])</f>
        <v>Munich, Germany</v>
      </c>
    </row>
    <row r="7" spans="1:5" x14ac:dyDescent="0.25">
      <c r="A7" t="s">
        <v>43</v>
      </c>
      <c r="B7" t="str">
        <f t="shared" si="0"/>
        <v>52.3702157,4.8951679</v>
      </c>
      <c r="C7">
        <f t="shared" si="1"/>
        <v>52.370215700000003</v>
      </c>
      <c r="D7">
        <f t="shared" si="2"/>
        <v>4.8951678999999997</v>
      </c>
      <c r="E7" t="str">
        <f>G_ADDRESS(Table1[[#This Row],[Location]])</f>
        <v>Amsterdam, Netherlands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"/>
  <sheetViews>
    <sheetView showGridLines="0" workbookViewId="0">
      <selection activeCell="C13" sqref="C13"/>
    </sheetView>
  </sheetViews>
  <sheetFormatPr defaultRowHeight="15" x14ac:dyDescent="0.25"/>
  <cols>
    <col min="1" max="1" width="42.7109375" bestFit="1" customWidth="1"/>
    <col min="2" max="7" width="16.42578125" customWidth="1"/>
    <col min="10" max="10" width="11.28515625" bestFit="1" customWidth="1"/>
  </cols>
  <sheetData>
    <row r="1" spans="1:10" ht="48.75" x14ac:dyDescent="0.25">
      <c r="A1" t="s">
        <v>88</v>
      </c>
      <c r="B1" s="31" t="s">
        <v>482</v>
      </c>
      <c r="C1" s="20" t="s">
        <v>93</v>
      </c>
      <c r="D1" s="20" t="s">
        <v>94</v>
      </c>
      <c r="E1" s="20" t="s">
        <v>95</v>
      </c>
      <c r="F1" s="20" t="s">
        <v>96</v>
      </c>
      <c r="G1" s="20" t="s">
        <v>97</v>
      </c>
    </row>
    <row r="2" spans="1:10" x14ac:dyDescent="0.25">
      <c r="A2" s="16" t="str">
        <f>Table2[[#Headers],[22.660976,120.310470]]</f>
        <v>22.660976,120.310470</v>
      </c>
      <c r="B2" s="22">
        <f>G_Duration($A2,B$1)</f>
        <v>0</v>
      </c>
      <c r="C2" s="22"/>
      <c r="D2" s="22"/>
      <c r="E2" s="22"/>
      <c r="F2" s="22"/>
      <c r="G2" s="22" t="str">
        <f t="shared" ref="G2:G8" si="0">G_DISTANCE($A2,G$1)</f>
        <v>OVER_QUERY_LIMIT</v>
      </c>
      <c r="H2" s="15"/>
      <c r="I2" s="15"/>
      <c r="J2" s="15"/>
    </row>
    <row r="3" spans="1:10" x14ac:dyDescent="0.25">
      <c r="A3" s="16" t="str">
        <f>Table2[[#Headers],[Béziers]]</f>
        <v>Béziers</v>
      </c>
      <c r="B3" s="22" t="str">
        <f>G_DISTANCE($A3,B$1)</f>
        <v>OVER_QUERY_LIMIT</v>
      </c>
      <c r="C3" s="22">
        <f>G_Duration($A3,C$1)</f>
        <v>0</v>
      </c>
      <c r="D3" s="22"/>
      <c r="E3" s="22"/>
      <c r="F3" s="22"/>
      <c r="G3" s="22" t="str">
        <f>G_DISTANCE($A3,G$1)</f>
        <v>NOT_FOUND</v>
      </c>
      <c r="H3" s="15"/>
      <c r="I3" s="15"/>
      <c r="J3" s="15"/>
    </row>
    <row r="4" spans="1:10" x14ac:dyDescent="0.25">
      <c r="A4" s="16" t="str">
        <f>Table2[[#Headers],[Köln]]</f>
        <v>Köln</v>
      </c>
      <c r="B4" s="22" t="str">
        <f t="shared" ref="B4:B6" si="1">G_DISTANCE($A4,B$1)</f>
        <v>NOT_FOUND</v>
      </c>
      <c r="C4" s="22" t="str">
        <f>G_DISTANCE($A4,C$1)</f>
        <v>NOT_FOUND</v>
      </c>
      <c r="D4" s="22" t="e">
        <f>G_Duration($A4,D$1)</f>
        <v>#N/A</v>
      </c>
      <c r="E4" s="22"/>
      <c r="F4" s="22"/>
      <c r="G4" s="22" t="str">
        <f t="shared" si="0"/>
        <v>OVER_QUERY_LIMIT</v>
      </c>
      <c r="H4" s="15"/>
      <c r="I4" s="15"/>
      <c r="J4" s="15"/>
    </row>
    <row r="5" spans="1:10" x14ac:dyDescent="0.25">
      <c r="A5" s="16" t="str">
        <f>Table2[[#Headers],[Straßburg]]</f>
        <v>Straßburg</v>
      </c>
      <c r="B5" s="22" t="str">
        <f t="shared" si="1"/>
        <v>OVER_QUERY_LIMIT</v>
      </c>
      <c r="C5" s="22" t="str">
        <f>G_DISTANCE($A5,C$1)</f>
        <v>OVER_QUERY_LIMIT</v>
      </c>
      <c r="D5" s="22" t="str">
        <f>G_DISTANCE($A5,D$1)</f>
        <v>OVER_QUERY_LIMIT</v>
      </c>
      <c r="E5" s="22" t="e">
        <f>G_Duration($A5,E$1)</f>
        <v>#N/A</v>
      </c>
      <c r="F5" s="22"/>
      <c r="G5" s="22" t="str">
        <f>G_DISTANCE($A5,G$1)</f>
        <v>OVER_QUERY_LIMIT</v>
      </c>
      <c r="H5" s="15"/>
      <c r="I5" s="15"/>
      <c r="J5" s="15"/>
    </row>
    <row r="6" spans="1:10" x14ac:dyDescent="0.25">
      <c r="A6" s="16" t="str">
        <f>Table2[[#Headers],[Almuñecar]]</f>
        <v>Almuñecar</v>
      </c>
      <c r="B6" s="22" t="str">
        <f t="shared" si="1"/>
        <v>OVER_QUERY_LIMIT</v>
      </c>
      <c r="C6" s="22" t="str">
        <f>G_DISTANCE($A6,C$1)</f>
        <v>OVER_QUERY_LIMIT</v>
      </c>
      <c r="D6" s="22" t="str">
        <f t="shared" ref="D6:E8" si="2">G_DISTANCE($A6,D$1)</f>
        <v>OVER_QUERY_LIMIT</v>
      </c>
      <c r="E6" s="22" t="str">
        <f>G_DISTANCE($A6,E$1)</f>
        <v>OVER_QUERY_LIMIT</v>
      </c>
      <c r="F6" s="22">
        <f>G_Duration($A6,F$1)</f>
        <v>0</v>
      </c>
      <c r="G6" s="22" t="str">
        <f t="shared" si="0"/>
        <v>OVER_QUERY_LIMIT</v>
      </c>
      <c r="H6" s="15"/>
      <c r="I6" s="15"/>
      <c r="J6" s="15"/>
    </row>
    <row r="7" spans="1:10" x14ac:dyDescent="0.25">
      <c r="A7" s="16" t="str">
        <f>Table2[[#Headers],[Alcobaça]]</f>
        <v>Alcobaça</v>
      </c>
      <c r="B7" s="22" t="str">
        <f>G_DISTANCE($A7,B$1)</f>
        <v>OVER_QUERY_LIMIT</v>
      </c>
      <c r="C7" s="22" t="str">
        <f>G_DISTANCE($A7,C$1)</f>
        <v>OVER_QUERY_LIMIT</v>
      </c>
      <c r="D7" s="22" t="str">
        <f>G_DISTANCE($A7,D$1)</f>
        <v>NOT_FOUND</v>
      </c>
      <c r="E7" s="22" t="str">
        <f>G_DISTANCE($A7,E$1)</f>
        <v>OVER_QUERY_LIMIT</v>
      </c>
      <c r="F7" s="22" t="str">
        <f>G_DISTANCE($A7,F$1)</f>
        <v>NOT_FOUND</v>
      </c>
      <c r="G7" s="22" t="str">
        <f t="shared" si="0"/>
        <v>NOT_FOUND</v>
      </c>
      <c r="H7" s="15"/>
      <c r="I7" s="15"/>
      <c r="J7" s="15"/>
    </row>
    <row r="8" spans="1:10" x14ac:dyDescent="0.25">
      <c r="A8" s="31" t="s">
        <v>481</v>
      </c>
      <c r="B8" s="22" t="str">
        <f>G_DISTANCE($A8,B$1)</f>
        <v>OVER_QUERY_LIMIT</v>
      </c>
      <c r="C8" s="22" t="str">
        <f>G_DISTANCE($A8,C$1)</f>
        <v>OVER_QUERY_LIMIT</v>
      </c>
      <c r="D8" s="22" t="str">
        <f t="shared" si="2"/>
        <v>OVER_QUERY_LIMIT</v>
      </c>
      <c r="E8" s="22" t="str">
        <f t="shared" si="2"/>
        <v>OVER_QUERY_LIMIT</v>
      </c>
      <c r="F8" s="22" t="str">
        <f>G_DISTANCE($A8,F$1)</f>
        <v>OVER_QUERY_LIMIT</v>
      </c>
      <c r="G8" s="22" t="str">
        <f t="shared" si="0"/>
        <v>NOT_FOUND</v>
      </c>
      <c r="H8" s="15"/>
      <c r="I8" s="15"/>
      <c r="J8" s="15"/>
    </row>
    <row r="9" spans="1:10" x14ac:dyDescent="0.25">
      <c r="A9" s="21" t="s">
        <v>89</v>
      </c>
      <c r="B9" s="15"/>
      <c r="C9" s="15"/>
      <c r="D9" s="15"/>
      <c r="E9" s="15"/>
      <c r="F9" s="15"/>
      <c r="G9" s="15"/>
      <c r="H9" s="15"/>
      <c r="I9" s="15"/>
      <c r="J9" s="15"/>
    </row>
    <row r="10" spans="1:10" x14ac:dyDescent="0.25">
      <c r="A10" t="s">
        <v>92</v>
      </c>
      <c r="B10" s="15"/>
      <c r="C10" s="15"/>
      <c r="D10" s="15"/>
      <c r="E10" s="15"/>
      <c r="F10" s="15"/>
      <c r="G10" s="15"/>
      <c r="H10" s="15"/>
      <c r="I10" s="15"/>
      <c r="J10" s="15"/>
    </row>
    <row r="11" spans="1:10" x14ac:dyDescent="0.25">
      <c r="A11" t="s">
        <v>90</v>
      </c>
      <c r="B11" s="15"/>
      <c r="C11" s="15"/>
      <c r="D11" s="15"/>
      <c r="E11" s="15"/>
      <c r="F11" s="15"/>
      <c r="G11" s="15"/>
      <c r="H11" s="15"/>
      <c r="I11" s="15"/>
      <c r="J11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YN262"/>
  <sheetViews>
    <sheetView showGridLines="0" workbookViewId="0">
      <selection activeCell="B23" sqref="B23"/>
    </sheetView>
  </sheetViews>
  <sheetFormatPr defaultRowHeight="15" x14ac:dyDescent="0.25"/>
  <cols>
    <col min="2" max="2" width="34" customWidth="1"/>
    <col min="3" max="3" width="27.140625" bestFit="1" customWidth="1"/>
    <col min="4" max="4" width="21.42578125" bestFit="1" customWidth="1"/>
    <col min="5" max="5" width="16" customWidth="1"/>
    <col min="6" max="6" width="14.28515625" customWidth="1"/>
    <col min="7" max="7" width="13.7109375" customWidth="1"/>
    <col min="8" max="8" width="12.140625" bestFit="1" customWidth="1"/>
    <col min="10" max="10" width="21" customWidth="1"/>
    <col min="11" max="11" width="15.42578125" bestFit="1" customWidth="1"/>
    <col min="648" max="648" width="81.140625" bestFit="1" customWidth="1"/>
    <col min="649" max="649" width="34" bestFit="1" customWidth="1"/>
    <col min="650" max="650" width="20.85546875" customWidth="1"/>
    <col min="651" max="651" width="34" bestFit="1" customWidth="1"/>
    <col min="652" max="652" width="20.85546875" bestFit="1" customWidth="1"/>
    <col min="653" max="653" width="34" bestFit="1" customWidth="1"/>
    <col min="654" max="654" width="20.85546875" bestFit="1" customWidth="1"/>
    <col min="655" max="655" width="34" bestFit="1" customWidth="1"/>
    <col min="656" max="656" width="20.85546875" bestFit="1" customWidth="1"/>
    <col min="657" max="657" width="34" bestFit="1" customWidth="1"/>
    <col min="658" max="658" width="27.140625" bestFit="1" customWidth="1"/>
    <col min="659" max="659" width="34" bestFit="1" customWidth="1"/>
    <col min="660" max="660" width="27.140625" bestFit="1" customWidth="1"/>
    <col min="661" max="661" width="34" bestFit="1" customWidth="1"/>
    <col min="662" max="662" width="27.140625" bestFit="1" customWidth="1"/>
    <col min="663" max="663" width="34" bestFit="1" customWidth="1"/>
    <col min="664" max="664" width="27.140625" bestFit="1" customWidth="1"/>
  </cols>
  <sheetData>
    <row r="1" spans="2:11" ht="23.25" customHeight="1" x14ac:dyDescent="0.25"/>
    <row r="2" spans="2:11" x14ac:dyDescent="0.25">
      <c r="B2" s="12" t="s">
        <v>2</v>
      </c>
      <c r="C2" s="13" t="s">
        <v>0</v>
      </c>
      <c r="D2" s="13" t="s">
        <v>1</v>
      </c>
      <c r="E2" s="13" t="s">
        <v>4</v>
      </c>
      <c r="F2" s="13" t="s">
        <v>5</v>
      </c>
      <c r="G2" s="13" t="s">
        <v>7</v>
      </c>
      <c r="H2" s="13" t="s">
        <v>8</v>
      </c>
    </row>
    <row r="3" spans="2:11" x14ac:dyDescent="0.25">
      <c r="B3" s="4" t="s">
        <v>39</v>
      </c>
      <c r="C3" s="5" t="s">
        <v>23</v>
      </c>
      <c r="D3" s="5" t="s">
        <v>24</v>
      </c>
      <c r="E3" s="5" t="s">
        <v>25</v>
      </c>
      <c r="F3" s="5" t="s">
        <v>26</v>
      </c>
      <c r="G3" s="5" t="s">
        <v>27</v>
      </c>
      <c r="H3" s="5" t="s">
        <v>28</v>
      </c>
    </row>
    <row r="4" spans="2:11" x14ac:dyDescent="0.25">
      <c r="B4" s="4" t="s">
        <v>3</v>
      </c>
      <c r="C4" s="7" t="s">
        <v>87</v>
      </c>
      <c r="D4" s="5" t="str">
        <f>G_LATLNG(C4)</f>
        <v>51.5073509,-0.1277583</v>
      </c>
      <c r="E4" s="7" t="s">
        <v>51</v>
      </c>
      <c r="F4" s="7">
        <v>15</v>
      </c>
      <c r="G4" s="7" t="s">
        <v>6</v>
      </c>
      <c r="H4" s="7" t="s">
        <v>34</v>
      </c>
    </row>
    <row r="5" spans="2:11" x14ac:dyDescent="0.25">
      <c r="B5" s="6" t="s">
        <v>35</v>
      </c>
      <c r="C5" s="8" t="str">
        <f>CONCATENATE(B4,D3,D4,E3,E4,F3,F4,G3,G4,H3,H4,I3,I4)</f>
        <v>http://maps.google.co.uk/maps?&amp;ll=51.5073509,-0.1277583&amp;t=s&amp;z=15&amp;output=embed&amp;iwloc=ss</v>
      </c>
      <c r="D5" s="9"/>
      <c r="E5" s="9"/>
      <c r="F5" s="9"/>
      <c r="G5" s="9"/>
      <c r="H5" s="10"/>
    </row>
    <row r="6" spans="2:11" x14ac:dyDescent="0.25">
      <c r="B6" s="1"/>
    </row>
    <row r="7" spans="2:11" x14ac:dyDescent="0.25">
      <c r="B7" s="12" t="s">
        <v>2</v>
      </c>
      <c r="C7" s="13" t="s">
        <v>0</v>
      </c>
      <c r="D7" s="13" t="s">
        <v>5</v>
      </c>
      <c r="E7" s="13" t="s">
        <v>29</v>
      </c>
      <c r="F7" s="13" t="s">
        <v>4</v>
      </c>
      <c r="G7" s="13" t="s">
        <v>30</v>
      </c>
      <c r="H7" s="13" t="s">
        <v>31</v>
      </c>
      <c r="I7" s="13" t="s">
        <v>32</v>
      </c>
      <c r="J7" s="13" t="s">
        <v>1</v>
      </c>
      <c r="K7" s="13" t="s">
        <v>33</v>
      </c>
    </row>
    <row r="8" spans="2:11" x14ac:dyDescent="0.25">
      <c r="B8" s="4" t="s">
        <v>39</v>
      </c>
      <c r="C8" s="5" t="s">
        <v>10</v>
      </c>
      <c r="D8" s="5" t="s">
        <v>11</v>
      </c>
      <c r="E8" s="5" t="s">
        <v>12</v>
      </c>
      <c r="F8" s="5" t="s">
        <v>13</v>
      </c>
      <c r="G8" s="5" t="s">
        <v>14</v>
      </c>
      <c r="H8" s="5" t="s">
        <v>15</v>
      </c>
      <c r="I8" s="5" t="s">
        <v>16</v>
      </c>
      <c r="J8" s="5" t="s">
        <v>17</v>
      </c>
      <c r="K8" s="5" t="s">
        <v>18</v>
      </c>
    </row>
    <row r="9" spans="2:11" x14ac:dyDescent="0.25">
      <c r="B9" s="4" t="s">
        <v>9</v>
      </c>
      <c r="C9" s="5" t="s">
        <v>87</v>
      </c>
      <c r="D9" s="5">
        <v>15</v>
      </c>
      <c r="E9" s="5" t="s">
        <v>21</v>
      </c>
      <c r="F9" s="5" t="s">
        <v>19</v>
      </c>
      <c r="G9" s="5"/>
      <c r="H9" s="5" t="s">
        <v>20</v>
      </c>
      <c r="I9" s="5" t="s">
        <v>22</v>
      </c>
      <c r="J9" s="5" t="str">
        <f>G_LATLNG(C9)</f>
        <v>51.5073509,-0.1277583</v>
      </c>
      <c r="K9" s="11"/>
    </row>
    <row r="10" spans="2:11" x14ac:dyDescent="0.25">
      <c r="B10" s="4" t="s">
        <v>36</v>
      </c>
      <c r="C10" s="8" t="str">
        <f>CONCATENATE(B9,D8,D9,E8,E9,F8,F9,G8,H8,H9,I8,I9,J8,J9,K8,K9)</f>
        <v>http://maps.google.com/maps/api/staticmap?&amp;zoom=15&amp;size=525x330&amp;maptype=roadmap&amp;markers=color:red|label:A|51.5073509,-0.1277583&amp;sensor=false</v>
      </c>
      <c r="D10" s="9"/>
      <c r="E10" s="9"/>
      <c r="F10" s="9"/>
      <c r="G10" s="9"/>
      <c r="H10" s="9"/>
      <c r="I10" s="9"/>
      <c r="J10" s="9"/>
      <c r="K10" s="10"/>
    </row>
    <row r="13" spans="2:11" x14ac:dyDescent="0.25">
      <c r="B13" t="s">
        <v>50</v>
      </c>
    </row>
    <row r="14" spans="2:11" x14ac:dyDescent="0.25">
      <c r="B14" s="17" t="s">
        <v>41</v>
      </c>
    </row>
    <row r="15" spans="2:11" x14ac:dyDescent="0.25">
      <c r="B15" s="17" t="s">
        <v>40</v>
      </c>
    </row>
    <row r="16" spans="2:11" x14ac:dyDescent="0.25">
      <c r="B16" s="17" t="s">
        <v>42</v>
      </c>
    </row>
    <row r="17" spans="2:10" x14ac:dyDescent="0.25">
      <c r="B17" s="17" t="s">
        <v>48</v>
      </c>
    </row>
    <row r="18" spans="2:10" x14ac:dyDescent="0.25">
      <c r="B18" s="17" t="s">
        <v>49</v>
      </c>
    </row>
    <row r="19" spans="2:10" x14ac:dyDescent="0.25">
      <c r="B19" s="17" t="s">
        <v>43</v>
      </c>
    </row>
    <row r="20" spans="2:10" x14ac:dyDescent="0.25">
      <c r="B20" s="18" t="s">
        <v>53</v>
      </c>
    </row>
    <row r="21" spans="2:10" x14ac:dyDescent="0.25">
      <c r="B21" s="18" t="s">
        <v>52</v>
      </c>
    </row>
    <row r="22" spans="2:10" x14ac:dyDescent="0.25">
      <c r="B22" s="18" t="s">
        <v>54</v>
      </c>
    </row>
    <row r="23" spans="2:10" x14ac:dyDescent="0.25">
      <c r="B23" s="18" t="s">
        <v>55</v>
      </c>
    </row>
    <row r="24" spans="2:10" x14ac:dyDescent="0.25">
      <c r="B24" s="19"/>
    </row>
    <row r="25" spans="2:10" x14ac:dyDescent="0.25">
      <c r="B25" s="18"/>
    </row>
    <row r="26" spans="2:10" x14ac:dyDescent="0.25">
      <c r="B26" s="18"/>
    </row>
    <row r="31" spans="2:10" ht="18.75" x14ac:dyDescent="0.3">
      <c r="D31" s="14" t="s">
        <v>37</v>
      </c>
      <c r="E31" s="14"/>
      <c r="F31" s="14"/>
      <c r="J31" s="14" t="s">
        <v>38</v>
      </c>
    </row>
    <row r="32" spans="2:10" s="3" customFormat="1" x14ac:dyDescent="0.25">
      <c r="D32" s="2"/>
    </row>
    <row r="250" spans="2:664" x14ac:dyDescent="0.25">
      <c r="B250" t="s">
        <v>61</v>
      </c>
      <c r="C250" t="s">
        <v>62</v>
      </c>
      <c r="XX250" t="s">
        <v>86</v>
      </c>
      <c r="YA250" t="s">
        <v>61</v>
      </c>
      <c r="YB250" t="s">
        <v>62</v>
      </c>
      <c r="YC250" t="s">
        <v>61</v>
      </c>
      <c r="YD250" t="s">
        <v>62</v>
      </c>
      <c r="YE250" t="s">
        <v>61</v>
      </c>
      <c r="YF250" t="s">
        <v>62</v>
      </c>
      <c r="YG250" t="s">
        <v>61</v>
      </c>
      <c r="YH250" t="s">
        <v>62</v>
      </c>
      <c r="YI250" t="s">
        <v>61</v>
      </c>
      <c r="YJ250" t="s">
        <v>62</v>
      </c>
      <c r="YK250" t="s">
        <v>61</v>
      </c>
      <c r="YL250" t="s">
        <v>62</v>
      </c>
      <c r="YM250" t="s">
        <v>61</v>
      </c>
      <c r="YN250" t="s">
        <v>62</v>
      </c>
    </row>
    <row r="251" spans="2:664" x14ac:dyDescent="0.25">
      <c r="B251" t="s">
        <v>57</v>
      </c>
      <c r="C251" t="s">
        <v>56</v>
      </c>
      <c r="YA251" t="s">
        <v>57</v>
      </c>
      <c r="YB251" t="s">
        <v>80</v>
      </c>
      <c r="YC251" t="s">
        <v>57</v>
      </c>
      <c r="YD251" t="s">
        <v>80</v>
      </c>
      <c r="YE251" t="s">
        <v>57</v>
      </c>
      <c r="YF251" t="s">
        <v>80</v>
      </c>
      <c r="YG251" t="s">
        <v>57</v>
      </c>
      <c r="YH251" t="s">
        <v>56</v>
      </c>
      <c r="YI251" t="s">
        <v>57</v>
      </c>
      <c r="YJ251" t="s">
        <v>56</v>
      </c>
      <c r="YK251" t="s">
        <v>57</v>
      </c>
      <c r="YL251" t="s">
        <v>56</v>
      </c>
      <c r="YM251" t="s">
        <v>57</v>
      </c>
      <c r="YN251" t="s">
        <v>56</v>
      </c>
    </row>
    <row r="252" spans="2:664" x14ac:dyDescent="0.25">
      <c r="B252" t="s">
        <v>58</v>
      </c>
      <c r="C252" t="s">
        <v>63</v>
      </c>
      <c r="YA252" t="s">
        <v>58</v>
      </c>
      <c r="YB252" t="s">
        <v>63</v>
      </c>
      <c r="YC252" t="s">
        <v>58</v>
      </c>
      <c r="YD252" t="s">
        <v>63</v>
      </c>
      <c r="YE252" t="s">
        <v>58</v>
      </c>
      <c r="YF252" t="s">
        <v>63</v>
      </c>
      <c r="YG252" t="s">
        <v>58</v>
      </c>
      <c r="YH252" t="s">
        <v>63</v>
      </c>
      <c r="YI252" t="s">
        <v>58</v>
      </c>
      <c r="YJ252" t="s">
        <v>63</v>
      </c>
      <c r="YK252" t="s">
        <v>58</v>
      </c>
      <c r="YL252" t="s">
        <v>63</v>
      </c>
      <c r="YM252" t="s">
        <v>58</v>
      </c>
      <c r="YN252" t="s">
        <v>63</v>
      </c>
    </row>
    <row r="253" spans="2:664" x14ac:dyDescent="0.25">
      <c r="B253" t="s">
        <v>64</v>
      </c>
      <c r="C253" t="s">
        <v>65</v>
      </c>
      <c r="YA253" t="s">
        <v>64</v>
      </c>
      <c r="YB253" t="s">
        <v>81</v>
      </c>
      <c r="YC253" t="s">
        <v>64</v>
      </c>
      <c r="YD253" t="s">
        <v>81</v>
      </c>
      <c r="YE253" t="s">
        <v>64</v>
      </c>
      <c r="YF253" t="s">
        <v>81</v>
      </c>
      <c r="YG253" t="s">
        <v>64</v>
      </c>
      <c r="YH253" t="s">
        <v>65</v>
      </c>
      <c r="YI253" t="s">
        <v>64</v>
      </c>
      <c r="YJ253" t="s">
        <v>65</v>
      </c>
      <c r="YK253" t="s">
        <v>64</v>
      </c>
      <c r="YL253" t="s">
        <v>65</v>
      </c>
      <c r="YM253" t="s">
        <v>64</v>
      </c>
      <c r="YN253" t="s">
        <v>65</v>
      </c>
    </row>
    <row r="254" spans="2:664" x14ac:dyDescent="0.25">
      <c r="B254" t="s">
        <v>66</v>
      </c>
      <c r="C254" t="s">
        <v>67</v>
      </c>
      <c r="YA254" t="s">
        <v>66</v>
      </c>
      <c r="YB254" t="s">
        <v>82</v>
      </c>
      <c r="YC254" t="s">
        <v>66</v>
      </c>
      <c r="YD254" t="s">
        <v>82</v>
      </c>
      <c r="YE254" t="s">
        <v>66</v>
      </c>
      <c r="YF254" t="s">
        <v>82</v>
      </c>
      <c r="YG254" t="s">
        <v>66</v>
      </c>
      <c r="YH254" t="s">
        <v>67</v>
      </c>
      <c r="YI254" t="s">
        <v>66</v>
      </c>
      <c r="YJ254" t="s">
        <v>67</v>
      </c>
      <c r="YK254" t="s">
        <v>66</v>
      </c>
      <c r="YL254" t="s">
        <v>67</v>
      </c>
      <c r="YM254" t="s">
        <v>66</v>
      </c>
      <c r="YN254" t="s">
        <v>67</v>
      </c>
    </row>
    <row r="255" spans="2:664" x14ac:dyDescent="0.25">
      <c r="B255" t="s">
        <v>68</v>
      </c>
      <c r="C255" t="s">
        <v>69</v>
      </c>
      <c r="YA255" t="s">
        <v>68</v>
      </c>
      <c r="YB255" t="s">
        <v>69</v>
      </c>
      <c r="YC255" t="s">
        <v>68</v>
      </c>
      <c r="YD255" t="s">
        <v>69</v>
      </c>
      <c r="YE255" t="s">
        <v>68</v>
      </c>
      <c r="YF255" t="s">
        <v>69</v>
      </c>
      <c r="YG255" t="s">
        <v>68</v>
      </c>
      <c r="YH255" t="s">
        <v>69</v>
      </c>
      <c r="YI255" t="s">
        <v>68</v>
      </c>
      <c r="YJ255" t="s">
        <v>69</v>
      </c>
      <c r="YK255" t="s">
        <v>68</v>
      </c>
      <c r="YL255" t="s">
        <v>69</v>
      </c>
      <c r="YM255" t="s">
        <v>68</v>
      </c>
      <c r="YN255" t="s">
        <v>69</v>
      </c>
    </row>
    <row r="256" spans="2:664" x14ac:dyDescent="0.25">
      <c r="B256" t="s">
        <v>59</v>
      </c>
      <c r="C256" t="s">
        <v>70</v>
      </c>
      <c r="YA256" t="s">
        <v>59</v>
      </c>
      <c r="YB256" t="s">
        <v>83</v>
      </c>
      <c r="YC256" t="s">
        <v>59</v>
      </c>
      <c r="YD256" t="s">
        <v>83</v>
      </c>
      <c r="YE256" t="s">
        <v>59</v>
      </c>
      <c r="YF256" t="s">
        <v>83</v>
      </c>
      <c r="YG256" t="s">
        <v>59</v>
      </c>
      <c r="YH256" t="s">
        <v>70</v>
      </c>
      <c r="YI256" t="s">
        <v>59</v>
      </c>
      <c r="YJ256" t="s">
        <v>70</v>
      </c>
      <c r="YK256" t="s">
        <v>59</v>
      </c>
      <c r="YL256" t="s">
        <v>70</v>
      </c>
      <c r="YM256" t="s">
        <v>59</v>
      </c>
      <c r="YN256" t="s">
        <v>70</v>
      </c>
    </row>
    <row r="257" spans="2:664" x14ac:dyDescent="0.25">
      <c r="B257" t="s">
        <v>71</v>
      </c>
      <c r="C257" t="s">
        <v>72</v>
      </c>
      <c r="YA257" t="s">
        <v>71</v>
      </c>
      <c r="YB257" t="s">
        <v>84</v>
      </c>
      <c r="YC257" t="s">
        <v>71</v>
      </c>
      <c r="YD257" t="s">
        <v>84</v>
      </c>
      <c r="YE257" t="s">
        <v>71</v>
      </c>
      <c r="YF257" t="s">
        <v>84</v>
      </c>
      <c r="YG257" t="s">
        <v>71</v>
      </c>
      <c r="YH257" t="s">
        <v>72</v>
      </c>
      <c r="YI257" t="s">
        <v>71</v>
      </c>
      <c r="YJ257" t="s">
        <v>72</v>
      </c>
      <c r="YK257" t="s">
        <v>71</v>
      </c>
      <c r="YL257" t="s">
        <v>72</v>
      </c>
      <c r="YM257" t="s">
        <v>71</v>
      </c>
      <c r="YN257" t="s">
        <v>72</v>
      </c>
    </row>
    <row r="258" spans="2:664" x14ac:dyDescent="0.25">
      <c r="B258" t="s">
        <v>60</v>
      </c>
      <c r="C258" t="s">
        <v>73</v>
      </c>
      <c r="YA258" t="s">
        <v>60</v>
      </c>
      <c r="YB258" t="s">
        <v>73</v>
      </c>
      <c r="YC258" t="s">
        <v>60</v>
      </c>
      <c r="YD258" t="s">
        <v>73</v>
      </c>
      <c r="YE258" t="s">
        <v>60</v>
      </c>
      <c r="YF258" t="s">
        <v>73</v>
      </c>
      <c r="YG258" t="s">
        <v>60</v>
      </c>
      <c r="YH258" t="s">
        <v>73</v>
      </c>
      <c r="YI258" t="s">
        <v>60</v>
      </c>
      <c r="YJ258" t="s">
        <v>73</v>
      </c>
      <c r="YK258" t="s">
        <v>60</v>
      </c>
      <c r="YL258" t="s">
        <v>73</v>
      </c>
      <c r="YM258" t="s">
        <v>60</v>
      </c>
      <c r="YN258" t="s">
        <v>73</v>
      </c>
    </row>
    <row r="259" spans="2:664" x14ac:dyDescent="0.25">
      <c r="B259" t="s">
        <v>74</v>
      </c>
      <c r="C259" t="s">
        <v>75</v>
      </c>
      <c r="YA259" t="s">
        <v>74</v>
      </c>
      <c r="YB259" t="s">
        <v>75</v>
      </c>
      <c r="YC259" t="s">
        <v>74</v>
      </c>
      <c r="YD259" t="s">
        <v>75</v>
      </c>
      <c r="YE259" t="s">
        <v>74</v>
      </c>
      <c r="YF259" t="s">
        <v>75</v>
      </c>
      <c r="YG259" t="s">
        <v>74</v>
      </c>
      <c r="YH259" t="s">
        <v>75</v>
      </c>
      <c r="YI259" t="s">
        <v>74</v>
      </c>
      <c r="YJ259" t="s">
        <v>75</v>
      </c>
      <c r="YK259" t="s">
        <v>74</v>
      </c>
      <c r="YL259" t="s">
        <v>75</v>
      </c>
      <c r="YM259" t="s">
        <v>74</v>
      </c>
      <c r="YN259" t="s">
        <v>75</v>
      </c>
    </row>
    <row r="260" spans="2:664" x14ac:dyDescent="0.25">
      <c r="B260" t="s">
        <v>76</v>
      </c>
      <c r="C260">
        <v>44</v>
      </c>
      <c r="YA260" t="s">
        <v>76</v>
      </c>
      <c r="YB260">
        <v>44</v>
      </c>
      <c r="YC260" t="s">
        <v>76</v>
      </c>
      <c r="YD260">
        <v>44</v>
      </c>
      <c r="YE260" t="s">
        <v>76</v>
      </c>
      <c r="YF260">
        <v>44</v>
      </c>
      <c r="YG260" t="s">
        <v>76</v>
      </c>
      <c r="YH260">
        <v>44</v>
      </c>
      <c r="YI260" t="s">
        <v>76</v>
      </c>
      <c r="YJ260">
        <v>44</v>
      </c>
      <c r="YK260" t="s">
        <v>76</v>
      </c>
      <c r="YL260">
        <v>44</v>
      </c>
      <c r="YM260" t="s">
        <v>76</v>
      </c>
      <c r="YN260">
        <v>44</v>
      </c>
    </row>
    <row r="261" spans="2:664" x14ac:dyDescent="0.25">
      <c r="B261" t="s">
        <v>77</v>
      </c>
      <c r="C261" t="s">
        <v>78</v>
      </c>
      <c r="YA261" t="s">
        <v>77</v>
      </c>
      <c r="YB261" t="s">
        <v>85</v>
      </c>
      <c r="YC261" t="s">
        <v>77</v>
      </c>
      <c r="YD261" t="s">
        <v>85</v>
      </c>
      <c r="YE261" t="s">
        <v>77</v>
      </c>
      <c r="YF261" t="s">
        <v>85</v>
      </c>
      <c r="YG261" t="s">
        <v>77</v>
      </c>
      <c r="YH261" t="s">
        <v>78</v>
      </c>
      <c r="YI261" t="s">
        <v>77</v>
      </c>
      <c r="YJ261" t="s">
        <v>78</v>
      </c>
      <c r="YK261" t="s">
        <v>77</v>
      </c>
      <c r="YL261" t="s">
        <v>78</v>
      </c>
      <c r="YM261" t="s">
        <v>77</v>
      </c>
      <c r="YN261" t="s">
        <v>78</v>
      </c>
    </row>
    <row r="262" spans="2:664" x14ac:dyDescent="0.25">
      <c r="B262" t="s">
        <v>79</v>
      </c>
      <c r="C262" t="s">
        <v>69</v>
      </c>
      <c r="YA262" t="s">
        <v>79</v>
      </c>
      <c r="YB262" t="s">
        <v>69</v>
      </c>
      <c r="YC262" t="s">
        <v>79</v>
      </c>
      <c r="YD262" t="s">
        <v>69</v>
      </c>
      <c r="YE262" t="s">
        <v>79</v>
      </c>
      <c r="YF262" t="s">
        <v>69</v>
      </c>
      <c r="YG262" t="s">
        <v>79</v>
      </c>
      <c r="YH262" t="s">
        <v>69</v>
      </c>
      <c r="YI262" t="s">
        <v>79</v>
      </c>
      <c r="YJ262" t="s">
        <v>69</v>
      </c>
      <c r="YK262" t="s">
        <v>79</v>
      </c>
      <c r="YL262" t="s">
        <v>69</v>
      </c>
      <c r="YM262" t="s">
        <v>79</v>
      </c>
      <c r="YN262" t="s">
        <v>69</v>
      </c>
    </row>
  </sheetData>
  <dataValidations count="1">
    <dataValidation type="list" allowBlank="1" showInputMessage="1" showErrorMessage="1" sqref="B12">
      <formula1>$B$14:$B$26</formula1>
    </dataValidation>
  </dataValidations>
  <pageMargins left="0.7" right="0.7" top="0.75" bottom="0.75" header="0.3" footer="0.3"/>
  <pageSetup paperSize="165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WebBrowser1">
          <controlPr autoLine="0" autoPict="0" r:id="rId5">
            <anchor moveWithCells="1">
              <from>
                <xdr:col>2</xdr:col>
                <xdr:colOff>142875</xdr:colOff>
                <xdr:row>11</xdr:row>
                <xdr:rowOff>57150</xdr:rowOff>
              </from>
              <to>
                <xdr:col>6</xdr:col>
                <xdr:colOff>209550</xdr:colOff>
                <xdr:row>29</xdr:row>
                <xdr:rowOff>133350</xdr:rowOff>
              </to>
            </anchor>
          </controlPr>
        </control>
      </mc:Choice>
      <mc:Fallback>
        <control shapeId="1026" r:id="rId4" name="WebBrowser1"/>
      </mc:Fallback>
    </mc:AlternateContent>
    <mc:AlternateContent xmlns:mc="http://schemas.openxmlformats.org/markup-compatibility/2006">
      <mc:Choice Requires="x14">
        <control shapeId="1028" r:id="rId6" name="WebBrowser2">
          <controlPr autoLine="0" autoPict="0" r:id="rId7">
            <anchor moveWithCells="1">
              <from>
                <xdr:col>6</xdr:col>
                <xdr:colOff>666750</xdr:colOff>
                <xdr:row>11</xdr:row>
                <xdr:rowOff>57150</xdr:rowOff>
              </from>
              <to>
                <xdr:col>13</xdr:col>
                <xdr:colOff>142875</xdr:colOff>
                <xdr:row>29</xdr:row>
                <xdr:rowOff>123825</xdr:rowOff>
              </to>
            </anchor>
          </controlPr>
        </control>
      </mc:Choice>
      <mc:Fallback>
        <control shapeId="1028" r:id="rId6" name="WebBrowser2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W152"/>
  <sheetViews>
    <sheetView workbookViewId="0">
      <pane ySplit="1" topLeftCell="A32" activePane="bottomLeft" state="frozen"/>
      <selection pane="bottomLeft" activeCell="AQ42" sqref="AQ42"/>
    </sheetView>
  </sheetViews>
  <sheetFormatPr defaultRowHeight="15" x14ac:dyDescent="0.25"/>
  <cols>
    <col min="1" max="1" width="56.42578125" style="27" customWidth="1"/>
    <col min="2" max="2" width="5.85546875" style="28" customWidth="1"/>
    <col min="3" max="3" width="5.85546875" style="29" customWidth="1"/>
    <col min="4" max="152" width="5.85546875" customWidth="1"/>
    <col min="257" max="257" width="56.42578125" customWidth="1"/>
    <col min="258" max="408" width="5.85546875" customWidth="1"/>
    <col min="513" max="513" width="56.42578125" customWidth="1"/>
    <col min="514" max="664" width="5.85546875" customWidth="1"/>
    <col min="769" max="769" width="56.42578125" customWidth="1"/>
    <col min="770" max="920" width="5.85546875" customWidth="1"/>
    <col min="1025" max="1025" width="56.42578125" customWidth="1"/>
    <col min="1026" max="1176" width="5.85546875" customWidth="1"/>
    <col min="1281" max="1281" width="56.42578125" customWidth="1"/>
    <col min="1282" max="1432" width="5.85546875" customWidth="1"/>
    <col min="1537" max="1537" width="56.42578125" customWidth="1"/>
    <col min="1538" max="1688" width="5.85546875" customWidth="1"/>
    <col min="1793" max="1793" width="56.42578125" customWidth="1"/>
    <col min="1794" max="1944" width="5.85546875" customWidth="1"/>
    <col min="2049" max="2049" width="56.42578125" customWidth="1"/>
    <col min="2050" max="2200" width="5.85546875" customWidth="1"/>
    <col min="2305" max="2305" width="56.42578125" customWidth="1"/>
    <col min="2306" max="2456" width="5.85546875" customWidth="1"/>
    <col min="2561" max="2561" width="56.42578125" customWidth="1"/>
    <col min="2562" max="2712" width="5.85546875" customWidth="1"/>
    <col min="2817" max="2817" width="56.42578125" customWidth="1"/>
    <col min="2818" max="2968" width="5.85546875" customWidth="1"/>
    <col min="3073" max="3073" width="56.42578125" customWidth="1"/>
    <col min="3074" max="3224" width="5.85546875" customWidth="1"/>
    <col min="3329" max="3329" width="56.42578125" customWidth="1"/>
    <col min="3330" max="3480" width="5.85546875" customWidth="1"/>
    <col min="3585" max="3585" width="56.42578125" customWidth="1"/>
    <col min="3586" max="3736" width="5.85546875" customWidth="1"/>
    <col min="3841" max="3841" width="56.42578125" customWidth="1"/>
    <col min="3842" max="3992" width="5.85546875" customWidth="1"/>
    <col min="4097" max="4097" width="56.42578125" customWidth="1"/>
    <col min="4098" max="4248" width="5.85546875" customWidth="1"/>
    <col min="4353" max="4353" width="56.42578125" customWidth="1"/>
    <col min="4354" max="4504" width="5.85546875" customWidth="1"/>
    <col min="4609" max="4609" width="56.42578125" customWidth="1"/>
    <col min="4610" max="4760" width="5.85546875" customWidth="1"/>
    <col min="4865" max="4865" width="56.42578125" customWidth="1"/>
    <col min="4866" max="5016" width="5.85546875" customWidth="1"/>
    <col min="5121" max="5121" width="56.42578125" customWidth="1"/>
    <col min="5122" max="5272" width="5.85546875" customWidth="1"/>
    <col min="5377" max="5377" width="56.42578125" customWidth="1"/>
    <col min="5378" max="5528" width="5.85546875" customWidth="1"/>
    <col min="5633" max="5633" width="56.42578125" customWidth="1"/>
    <col min="5634" max="5784" width="5.85546875" customWidth="1"/>
    <col min="5889" max="5889" width="56.42578125" customWidth="1"/>
    <col min="5890" max="6040" width="5.85546875" customWidth="1"/>
    <col min="6145" max="6145" width="56.42578125" customWidth="1"/>
    <col min="6146" max="6296" width="5.85546875" customWidth="1"/>
    <col min="6401" max="6401" width="56.42578125" customWidth="1"/>
    <col min="6402" max="6552" width="5.85546875" customWidth="1"/>
    <col min="6657" max="6657" width="56.42578125" customWidth="1"/>
    <col min="6658" max="6808" width="5.85546875" customWidth="1"/>
    <col min="6913" max="6913" width="56.42578125" customWidth="1"/>
    <col min="6914" max="7064" width="5.85546875" customWidth="1"/>
    <col min="7169" max="7169" width="56.42578125" customWidth="1"/>
    <col min="7170" max="7320" width="5.85546875" customWidth="1"/>
    <col min="7425" max="7425" width="56.42578125" customWidth="1"/>
    <col min="7426" max="7576" width="5.85546875" customWidth="1"/>
    <col min="7681" max="7681" width="56.42578125" customWidth="1"/>
    <col min="7682" max="7832" width="5.85546875" customWidth="1"/>
    <col min="7937" max="7937" width="56.42578125" customWidth="1"/>
    <col min="7938" max="8088" width="5.85546875" customWidth="1"/>
    <col min="8193" max="8193" width="56.42578125" customWidth="1"/>
    <col min="8194" max="8344" width="5.85546875" customWidth="1"/>
    <col min="8449" max="8449" width="56.42578125" customWidth="1"/>
    <col min="8450" max="8600" width="5.85546875" customWidth="1"/>
    <col min="8705" max="8705" width="56.42578125" customWidth="1"/>
    <col min="8706" max="8856" width="5.85546875" customWidth="1"/>
    <col min="8961" max="8961" width="56.42578125" customWidth="1"/>
    <col min="8962" max="9112" width="5.85546875" customWidth="1"/>
    <col min="9217" max="9217" width="56.42578125" customWidth="1"/>
    <col min="9218" max="9368" width="5.85546875" customWidth="1"/>
    <col min="9473" max="9473" width="56.42578125" customWidth="1"/>
    <col min="9474" max="9624" width="5.85546875" customWidth="1"/>
    <col min="9729" max="9729" width="56.42578125" customWidth="1"/>
    <col min="9730" max="9880" width="5.85546875" customWidth="1"/>
    <col min="9985" max="9985" width="56.42578125" customWidth="1"/>
    <col min="9986" max="10136" width="5.85546875" customWidth="1"/>
    <col min="10241" max="10241" width="56.42578125" customWidth="1"/>
    <col min="10242" max="10392" width="5.85546875" customWidth="1"/>
    <col min="10497" max="10497" width="56.42578125" customWidth="1"/>
    <col min="10498" max="10648" width="5.85546875" customWidth="1"/>
    <col min="10753" max="10753" width="56.42578125" customWidth="1"/>
    <col min="10754" max="10904" width="5.85546875" customWidth="1"/>
    <col min="11009" max="11009" width="56.42578125" customWidth="1"/>
    <col min="11010" max="11160" width="5.85546875" customWidth="1"/>
    <col min="11265" max="11265" width="56.42578125" customWidth="1"/>
    <col min="11266" max="11416" width="5.85546875" customWidth="1"/>
    <col min="11521" max="11521" width="56.42578125" customWidth="1"/>
    <col min="11522" max="11672" width="5.85546875" customWidth="1"/>
    <col min="11777" max="11777" width="56.42578125" customWidth="1"/>
    <col min="11778" max="11928" width="5.85546875" customWidth="1"/>
    <col min="12033" max="12033" width="56.42578125" customWidth="1"/>
    <col min="12034" max="12184" width="5.85546875" customWidth="1"/>
    <col min="12289" max="12289" width="56.42578125" customWidth="1"/>
    <col min="12290" max="12440" width="5.85546875" customWidth="1"/>
    <col min="12545" max="12545" width="56.42578125" customWidth="1"/>
    <col min="12546" max="12696" width="5.85546875" customWidth="1"/>
    <col min="12801" max="12801" width="56.42578125" customWidth="1"/>
    <col min="12802" max="12952" width="5.85546875" customWidth="1"/>
    <col min="13057" max="13057" width="56.42578125" customWidth="1"/>
    <col min="13058" max="13208" width="5.85546875" customWidth="1"/>
    <col min="13313" max="13313" width="56.42578125" customWidth="1"/>
    <col min="13314" max="13464" width="5.85546875" customWidth="1"/>
    <col min="13569" max="13569" width="56.42578125" customWidth="1"/>
    <col min="13570" max="13720" width="5.85546875" customWidth="1"/>
    <col min="13825" max="13825" width="56.42578125" customWidth="1"/>
    <col min="13826" max="13976" width="5.85546875" customWidth="1"/>
    <col min="14081" max="14081" width="56.42578125" customWidth="1"/>
    <col min="14082" max="14232" width="5.85546875" customWidth="1"/>
    <col min="14337" max="14337" width="56.42578125" customWidth="1"/>
    <col min="14338" max="14488" width="5.85546875" customWidth="1"/>
    <col min="14593" max="14593" width="56.42578125" customWidth="1"/>
    <col min="14594" max="14744" width="5.85546875" customWidth="1"/>
    <col min="14849" max="14849" width="56.42578125" customWidth="1"/>
    <col min="14850" max="15000" width="5.85546875" customWidth="1"/>
    <col min="15105" max="15105" width="56.42578125" customWidth="1"/>
    <col min="15106" max="15256" width="5.85546875" customWidth="1"/>
    <col min="15361" max="15361" width="56.42578125" customWidth="1"/>
    <col min="15362" max="15512" width="5.85546875" customWidth="1"/>
    <col min="15617" max="15617" width="56.42578125" customWidth="1"/>
    <col min="15618" max="15768" width="5.85546875" customWidth="1"/>
    <col min="15873" max="15873" width="56.42578125" customWidth="1"/>
    <col min="15874" max="16024" width="5.85546875" customWidth="1"/>
    <col min="16129" max="16129" width="56.42578125" customWidth="1"/>
    <col min="16130" max="16280" width="5.85546875" customWidth="1"/>
  </cols>
  <sheetData>
    <row r="1" spans="1:153" ht="37.5" customHeight="1" x14ac:dyDescent="0.25">
      <c r="A1" s="23"/>
      <c r="B1" s="24">
        <v>2</v>
      </c>
      <c r="C1" s="24">
        <v>3</v>
      </c>
      <c r="D1" s="24">
        <v>4</v>
      </c>
      <c r="E1" s="24">
        <v>5</v>
      </c>
      <c r="F1" s="24">
        <v>6</v>
      </c>
      <c r="G1" s="24">
        <v>7</v>
      </c>
      <c r="H1" s="24">
        <v>8</v>
      </c>
      <c r="I1" s="24">
        <v>9</v>
      </c>
      <c r="J1" s="24">
        <v>10</v>
      </c>
      <c r="K1" s="24">
        <v>11</v>
      </c>
      <c r="L1" s="24">
        <v>12</v>
      </c>
      <c r="M1" s="24">
        <v>13</v>
      </c>
      <c r="N1" s="24">
        <v>14</v>
      </c>
      <c r="O1" s="24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A1" s="24">
        <v>27</v>
      </c>
      <c r="AB1" s="24">
        <v>28</v>
      </c>
      <c r="AC1" s="24">
        <v>29</v>
      </c>
      <c r="AD1" s="24">
        <v>30</v>
      </c>
      <c r="AE1" s="24">
        <v>31</v>
      </c>
      <c r="AF1" s="24">
        <v>32</v>
      </c>
      <c r="AG1" s="24">
        <v>33</v>
      </c>
      <c r="AH1" s="24">
        <v>34</v>
      </c>
      <c r="AI1" s="24">
        <v>35</v>
      </c>
      <c r="AJ1" s="24">
        <v>36</v>
      </c>
      <c r="AK1" s="24">
        <v>37</v>
      </c>
      <c r="AL1" s="24">
        <v>38</v>
      </c>
      <c r="AM1" s="24">
        <v>39</v>
      </c>
      <c r="AN1" s="24">
        <v>40</v>
      </c>
      <c r="AO1" s="24">
        <v>41</v>
      </c>
      <c r="AP1" s="24">
        <v>42</v>
      </c>
      <c r="AQ1" s="24">
        <v>43</v>
      </c>
      <c r="AR1" s="24">
        <v>44</v>
      </c>
      <c r="AS1" s="24">
        <v>45</v>
      </c>
      <c r="AT1" s="24">
        <v>46</v>
      </c>
      <c r="AU1" s="24">
        <v>47</v>
      </c>
      <c r="AV1" s="24">
        <v>48</v>
      </c>
      <c r="AW1" s="24">
        <v>49</v>
      </c>
      <c r="AX1" s="24">
        <v>50</v>
      </c>
      <c r="AY1" s="24">
        <v>51</v>
      </c>
      <c r="AZ1" s="24">
        <v>52</v>
      </c>
      <c r="BA1" s="24">
        <v>53</v>
      </c>
      <c r="BB1" s="24">
        <v>54</v>
      </c>
      <c r="BC1" s="24">
        <v>55</v>
      </c>
      <c r="BD1" s="24">
        <v>56</v>
      </c>
      <c r="BE1" s="24">
        <v>57</v>
      </c>
      <c r="BF1" s="24">
        <v>58</v>
      </c>
      <c r="BG1" s="24">
        <v>59</v>
      </c>
      <c r="BH1" s="24">
        <v>60</v>
      </c>
      <c r="BI1" s="24">
        <v>61</v>
      </c>
      <c r="BJ1" s="24">
        <v>62</v>
      </c>
      <c r="BK1" s="24">
        <v>63</v>
      </c>
      <c r="BL1" s="24">
        <v>64</v>
      </c>
      <c r="BM1" s="24">
        <v>65</v>
      </c>
      <c r="BN1" s="24">
        <v>66</v>
      </c>
      <c r="BO1" s="24">
        <v>67</v>
      </c>
      <c r="BP1" s="24">
        <v>68</v>
      </c>
      <c r="BQ1" s="24">
        <v>69</v>
      </c>
      <c r="BR1" s="24">
        <v>70</v>
      </c>
      <c r="BS1" s="24">
        <v>71</v>
      </c>
      <c r="BT1" s="24">
        <v>72</v>
      </c>
      <c r="BU1" s="24">
        <v>73</v>
      </c>
      <c r="BV1" s="24">
        <v>74</v>
      </c>
      <c r="BW1" s="24">
        <v>75</v>
      </c>
      <c r="BX1" s="24">
        <v>76</v>
      </c>
      <c r="BY1" s="24">
        <v>77</v>
      </c>
      <c r="BZ1" s="24">
        <v>78</v>
      </c>
      <c r="CA1" s="24">
        <v>79</v>
      </c>
      <c r="CB1" s="24">
        <v>80</v>
      </c>
      <c r="CC1" s="24">
        <v>81</v>
      </c>
      <c r="CD1" s="24">
        <v>82</v>
      </c>
      <c r="CE1" s="24">
        <v>83</v>
      </c>
      <c r="CF1" s="24">
        <v>84</v>
      </c>
      <c r="CG1" s="24">
        <v>85</v>
      </c>
      <c r="CH1" s="24">
        <v>86</v>
      </c>
      <c r="CI1" s="24">
        <v>87</v>
      </c>
      <c r="CJ1" s="24">
        <v>88</v>
      </c>
      <c r="CK1" s="24">
        <v>89</v>
      </c>
      <c r="CL1" s="24">
        <v>90</v>
      </c>
      <c r="CM1" s="24">
        <v>91</v>
      </c>
      <c r="CN1" s="24">
        <v>92</v>
      </c>
      <c r="CO1" s="24">
        <v>93</v>
      </c>
      <c r="CP1" s="24">
        <v>94</v>
      </c>
      <c r="CQ1" s="24">
        <v>95</v>
      </c>
      <c r="CR1" s="24">
        <v>96</v>
      </c>
      <c r="CS1" s="24">
        <v>97</v>
      </c>
      <c r="CT1" s="24">
        <v>98</v>
      </c>
      <c r="CU1" s="24">
        <v>99</v>
      </c>
      <c r="CV1" s="24">
        <v>100</v>
      </c>
      <c r="CW1" s="24">
        <v>101</v>
      </c>
      <c r="CX1" s="24">
        <v>102</v>
      </c>
      <c r="CY1" s="24">
        <v>103</v>
      </c>
      <c r="CZ1" s="24">
        <v>104</v>
      </c>
      <c r="DA1" s="24">
        <v>105</v>
      </c>
      <c r="DB1" s="24">
        <v>106</v>
      </c>
      <c r="DC1" s="24">
        <v>107</v>
      </c>
      <c r="DD1" s="24">
        <v>108</v>
      </c>
      <c r="DE1" s="24">
        <v>109</v>
      </c>
      <c r="DF1" s="24">
        <v>110</v>
      </c>
      <c r="DG1" s="24">
        <v>111</v>
      </c>
      <c r="DH1" s="24">
        <v>112</v>
      </c>
      <c r="DI1" s="24">
        <v>113</v>
      </c>
      <c r="DJ1" s="24">
        <v>114</v>
      </c>
      <c r="DK1" s="24">
        <v>115</v>
      </c>
      <c r="DL1" s="24">
        <v>116</v>
      </c>
      <c r="DM1" s="24">
        <v>117</v>
      </c>
      <c r="DN1" s="24">
        <v>118</v>
      </c>
      <c r="DO1" s="24">
        <v>119</v>
      </c>
      <c r="DP1" s="24">
        <v>120</v>
      </c>
      <c r="DQ1" s="24">
        <v>121</v>
      </c>
      <c r="DR1" s="24">
        <v>122</v>
      </c>
      <c r="DS1" s="24">
        <v>123</v>
      </c>
      <c r="DT1" s="24">
        <v>124</v>
      </c>
      <c r="DU1" s="24">
        <v>125</v>
      </c>
      <c r="DV1" s="24">
        <v>126</v>
      </c>
      <c r="DW1" s="24">
        <v>127</v>
      </c>
      <c r="DX1" s="24">
        <v>128</v>
      </c>
      <c r="DY1" s="24">
        <v>129</v>
      </c>
      <c r="DZ1" s="24">
        <v>130</v>
      </c>
      <c r="EA1" s="24">
        <v>131</v>
      </c>
      <c r="EB1" s="24">
        <v>132</v>
      </c>
      <c r="EC1" s="24">
        <v>133</v>
      </c>
      <c r="ED1" s="24">
        <v>134</v>
      </c>
      <c r="EE1" s="24">
        <v>135</v>
      </c>
      <c r="EF1" s="24">
        <v>136</v>
      </c>
      <c r="EG1" s="24">
        <v>137</v>
      </c>
      <c r="EH1" s="24">
        <v>138</v>
      </c>
      <c r="EI1" s="24">
        <v>139</v>
      </c>
      <c r="EJ1" s="24">
        <v>140</v>
      </c>
      <c r="EK1" s="24">
        <v>141</v>
      </c>
      <c r="EL1" s="24">
        <v>142</v>
      </c>
      <c r="EM1" s="24">
        <v>143</v>
      </c>
      <c r="EN1" s="24">
        <v>144</v>
      </c>
      <c r="EO1" s="24">
        <v>145</v>
      </c>
      <c r="EP1" s="24">
        <v>146</v>
      </c>
      <c r="EQ1" s="24">
        <v>147</v>
      </c>
      <c r="ER1" s="24">
        <v>148</v>
      </c>
      <c r="ES1" s="24">
        <v>149</v>
      </c>
      <c r="ET1" s="24">
        <v>150</v>
      </c>
      <c r="EU1" s="24">
        <v>151</v>
      </c>
      <c r="EV1" s="24">
        <v>152</v>
      </c>
    </row>
    <row r="2" spans="1:153" ht="17.25" customHeight="1" x14ac:dyDescent="0.25">
      <c r="A2" s="25" t="s">
        <v>99</v>
      </c>
      <c r="B2" s="25">
        <v>0</v>
      </c>
      <c r="C2" s="25">
        <v>1.8959999999999999</v>
      </c>
      <c r="D2" s="25">
        <v>2.7989999999999999</v>
      </c>
      <c r="E2" s="25">
        <v>3.9809999999999999</v>
      </c>
      <c r="F2" s="25">
        <v>4.6749999999999998</v>
      </c>
      <c r="G2" s="25">
        <v>5.7069999999999999</v>
      </c>
      <c r="H2" s="25">
        <v>6.4610000000000003</v>
      </c>
      <c r="I2" s="25">
        <v>7.7329999999999997</v>
      </c>
      <c r="J2" s="25">
        <v>17.381</v>
      </c>
      <c r="K2" s="25">
        <v>16.582000000000001</v>
      </c>
      <c r="L2" s="25">
        <v>15.817</v>
      </c>
      <c r="M2" s="25">
        <v>8.9600000000000009</v>
      </c>
      <c r="N2" s="25">
        <v>7.899</v>
      </c>
      <c r="O2" s="25">
        <v>6.1669999999999998</v>
      </c>
      <c r="P2" s="25">
        <v>7.3310000000000004</v>
      </c>
      <c r="Q2" s="25">
        <v>9.8949999999999996</v>
      </c>
      <c r="R2" s="25">
        <v>8.8580000000000005</v>
      </c>
      <c r="S2" s="25">
        <v>8.1050000000000004</v>
      </c>
      <c r="T2" s="25">
        <v>8.6110000000000007</v>
      </c>
      <c r="U2" s="25">
        <v>10.516</v>
      </c>
      <c r="V2" s="25">
        <v>10.099</v>
      </c>
      <c r="W2" s="25">
        <v>9.3719999999999999</v>
      </c>
      <c r="X2" s="25">
        <v>17.79</v>
      </c>
      <c r="Y2" s="25">
        <v>4.0140000000000002</v>
      </c>
      <c r="Z2" s="25">
        <v>5.4889999999999999</v>
      </c>
      <c r="AA2" s="25">
        <v>6.883</v>
      </c>
      <c r="AB2" s="25">
        <v>8.6180000000000003</v>
      </c>
      <c r="AC2" s="25">
        <v>18.248999999999999</v>
      </c>
      <c r="AD2" s="25">
        <v>17.544</v>
      </c>
      <c r="AE2" s="25">
        <v>1.7569999999999999</v>
      </c>
      <c r="AF2" s="25">
        <v>14.124000000000001</v>
      </c>
      <c r="AG2" s="25">
        <v>14.413</v>
      </c>
      <c r="AH2" s="25">
        <v>1.8959999999999999</v>
      </c>
      <c r="AI2" s="25">
        <v>6.1669999999999998</v>
      </c>
      <c r="AJ2" s="25">
        <v>6.4610000000000003</v>
      </c>
      <c r="AK2" s="25">
        <v>7.7329999999999997</v>
      </c>
      <c r="AL2" s="25">
        <v>9.8949999999999996</v>
      </c>
      <c r="AM2" s="25">
        <v>14.215999999999999</v>
      </c>
      <c r="AN2" s="25">
        <v>14.093</v>
      </c>
      <c r="AO2" s="25">
        <v>6.1669999999999998</v>
      </c>
      <c r="AP2" s="25">
        <v>2.4</v>
      </c>
      <c r="AQ2" s="25">
        <v>2.2709999999999999</v>
      </c>
      <c r="AR2" s="25">
        <v>6.1669999999999998</v>
      </c>
      <c r="AS2" s="25">
        <v>6.1669999999999998</v>
      </c>
      <c r="AT2" s="25">
        <v>6.1669999999999998</v>
      </c>
      <c r="AU2" s="25">
        <v>4.6479999999999997</v>
      </c>
      <c r="AV2" s="25">
        <v>6.1669999999999998</v>
      </c>
      <c r="AW2" s="25">
        <v>8.3130000000000006</v>
      </c>
      <c r="AX2" s="25">
        <v>11.74</v>
      </c>
      <c r="AY2" s="25">
        <v>6.1669999999999998</v>
      </c>
      <c r="AZ2" s="25">
        <v>8.0660000000000007</v>
      </c>
      <c r="BA2" s="25">
        <v>6.1669999999999998</v>
      </c>
      <c r="BB2" s="25">
        <v>7.4329999999999998</v>
      </c>
      <c r="BC2" s="25">
        <v>6.1669999999999998</v>
      </c>
      <c r="BD2" s="25">
        <v>7.49</v>
      </c>
      <c r="BE2" s="25">
        <v>6.1669999999999998</v>
      </c>
      <c r="BF2" s="25">
        <v>31.382000000000001</v>
      </c>
      <c r="BG2" s="25">
        <v>6.1669999999999998</v>
      </c>
      <c r="BH2" s="25">
        <v>6.1669999999999998</v>
      </c>
      <c r="BI2" s="25">
        <v>19.803999999999998</v>
      </c>
      <c r="BJ2" s="25">
        <v>6.1669999999999998</v>
      </c>
      <c r="BK2" s="25">
        <v>6.1669999999999998</v>
      </c>
      <c r="BL2" s="25">
        <v>6.1669999999999998</v>
      </c>
      <c r="BM2" s="25">
        <v>6.1669999999999998</v>
      </c>
      <c r="BN2" s="25">
        <v>6.1669999999999998</v>
      </c>
      <c r="BO2" s="25">
        <v>6.1669999999999998</v>
      </c>
      <c r="BP2" s="25">
        <v>10.087</v>
      </c>
      <c r="BQ2" s="25">
        <v>4.7939999999999996</v>
      </c>
      <c r="BR2" s="25">
        <v>6.1669999999999998</v>
      </c>
      <c r="BS2" s="25">
        <v>6.1669999999999998</v>
      </c>
      <c r="BT2" s="25">
        <v>6.1669999999999998</v>
      </c>
      <c r="BU2" s="25">
        <v>9.3339999999999996</v>
      </c>
      <c r="BV2" s="25">
        <v>6.1669999999999998</v>
      </c>
      <c r="BW2" s="25">
        <v>6.1669999999999998</v>
      </c>
      <c r="BX2" s="25">
        <v>12.436999999999999</v>
      </c>
      <c r="BY2" s="25">
        <v>5.8310000000000004</v>
      </c>
      <c r="BZ2" s="25">
        <v>4.4930000000000003</v>
      </c>
      <c r="CA2" s="25">
        <v>6.1669999999999998</v>
      </c>
      <c r="CB2" s="25">
        <v>6.1669999999999998</v>
      </c>
      <c r="CC2" s="25">
        <v>3.109</v>
      </c>
      <c r="CD2" s="25">
        <v>4.0140000000000002</v>
      </c>
      <c r="CE2" s="25">
        <v>6.1669999999999998</v>
      </c>
      <c r="CF2" s="25">
        <v>11.587999999999999</v>
      </c>
      <c r="CG2" s="25">
        <v>19.648</v>
      </c>
      <c r="CH2" s="25">
        <v>6.1669999999999998</v>
      </c>
      <c r="CI2" s="25">
        <v>6.1669999999999998</v>
      </c>
      <c r="CJ2" s="25">
        <v>6.1669999999999998</v>
      </c>
      <c r="CK2" s="25">
        <v>6.1669999999999998</v>
      </c>
      <c r="CL2" s="25">
        <v>6.1669999999999998</v>
      </c>
      <c r="CM2" s="25">
        <v>6.1669999999999998</v>
      </c>
      <c r="CN2" s="25">
        <v>6.1669999999999998</v>
      </c>
      <c r="CO2" s="25">
        <v>6.1669999999999998</v>
      </c>
      <c r="CP2" s="25">
        <v>6.1669999999999998</v>
      </c>
      <c r="CQ2" s="25">
        <v>6.1669999999999998</v>
      </c>
      <c r="CR2" s="25">
        <v>6.1669999999999998</v>
      </c>
      <c r="CS2" s="25">
        <v>38.503999999999998</v>
      </c>
      <c r="CT2" s="25">
        <v>6.1669999999999998</v>
      </c>
      <c r="CU2" s="25">
        <v>6.1669999999999998</v>
      </c>
      <c r="CV2" s="25">
        <v>11.016</v>
      </c>
      <c r="CW2" s="25">
        <v>6.1669999999999998</v>
      </c>
      <c r="CX2" s="25">
        <v>6.1669999999999998</v>
      </c>
      <c r="CY2" s="25">
        <v>6.1669999999999998</v>
      </c>
      <c r="CZ2" s="25">
        <v>8.6150000000000002</v>
      </c>
      <c r="DA2" s="25">
        <v>6.5010000000000003</v>
      </c>
      <c r="DB2" s="25">
        <v>7.617</v>
      </c>
      <c r="DC2" s="25">
        <v>6.95</v>
      </c>
      <c r="DD2" s="25">
        <v>3.4329999999999998</v>
      </c>
      <c r="DE2" s="25">
        <v>24.443999999999999</v>
      </c>
      <c r="DF2" s="25">
        <v>6.1669999999999998</v>
      </c>
      <c r="DG2" s="25">
        <v>2.0099999999999998</v>
      </c>
      <c r="DH2" s="25">
        <v>29.303000000000001</v>
      </c>
      <c r="DI2" s="25">
        <v>6.1669999999999998</v>
      </c>
      <c r="DJ2" s="25">
        <v>6.1669999999999998</v>
      </c>
      <c r="DK2" s="25">
        <v>10.048999999999999</v>
      </c>
      <c r="DL2" s="25">
        <v>6.1669999999999998</v>
      </c>
      <c r="DM2" s="25">
        <v>24.443999999999999</v>
      </c>
      <c r="DN2" s="25">
        <v>6.1669999999999998</v>
      </c>
      <c r="DO2" s="25">
        <v>6.1669999999999998</v>
      </c>
      <c r="DP2" s="25">
        <v>6.1669999999999998</v>
      </c>
      <c r="DQ2" s="25">
        <v>6.1669999999999998</v>
      </c>
      <c r="DR2" s="25">
        <v>6.1669999999999998</v>
      </c>
      <c r="DS2" s="25">
        <v>6.1669999999999998</v>
      </c>
      <c r="DT2" s="25">
        <v>6.1669999999999998</v>
      </c>
      <c r="DU2" s="25">
        <v>3.4159999999999999</v>
      </c>
      <c r="DV2" s="25">
        <v>6.1669999999999998</v>
      </c>
      <c r="DW2" s="25">
        <v>16.314</v>
      </c>
      <c r="DX2" s="25">
        <v>18.876999999999999</v>
      </c>
      <c r="DY2" s="25">
        <v>6.1669999999999998</v>
      </c>
      <c r="DZ2" s="25">
        <v>19.141999999999999</v>
      </c>
      <c r="EA2" s="25">
        <v>6.1669999999999998</v>
      </c>
      <c r="EB2" s="25">
        <v>1.9810000000000001</v>
      </c>
      <c r="EC2" s="25">
        <v>6.1669999999999998</v>
      </c>
      <c r="ED2" s="25">
        <v>6.1669999999999998</v>
      </c>
      <c r="EE2" s="25">
        <v>6.1669999999999998</v>
      </c>
      <c r="EF2" s="25">
        <v>6.1669999999999998</v>
      </c>
      <c r="EG2" s="25">
        <v>1.9710000000000001</v>
      </c>
      <c r="EH2" s="25">
        <v>19.282</v>
      </c>
      <c r="EI2" s="25">
        <v>6.1669999999999998</v>
      </c>
      <c r="EJ2" s="25">
        <v>9.8949999999999996</v>
      </c>
      <c r="EK2" s="25">
        <v>6.1669999999999998</v>
      </c>
      <c r="EL2" s="25">
        <v>6.1669999999999998</v>
      </c>
      <c r="EM2" s="25">
        <v>9.3160000000000007</v>
      </c>
      <c r="EN2" s="25">
        <v>6.1669999999999998</v>
      </c>
      <c r="EO2" s="25">
        <v>8.6289999999999996</v>
      </c>
      <c r="EP2" s="25">
        <v>6.1669999999999998</v>
      </c>
      <c r="EQ2" s="25">
        <v>6.1669999999999998</v>
      </c>
      <c r="ER2" s="25">
        <v>37.417000000000002</v>
      </c>
      <c r="ES2" s="25">
        <v>18.332999999999998</v>
      </c>
      <c r="ET2" s="25">
        <v>6.1669999999999998</v>
      </c>
      <c r="EU2" s="25">
        <v>6.1669999999999998</v>
      </c>
      <c r="EV2" s="25">
        <v>6.1669999999999998</v>
      </c>
      <c r="EW2" s="25"/>
    </row>
    <row r="3" spans="1:153" ht="17.25" customHeight="1" x14ac:dyDescent="0.25">
      <c r="A3" s="25" t="s">
        <v>100</v>
      </c>
      <c r="B3" s="25">
        <v>1.2509999999999999</v>
      </c>
      <c r="C3" s="25">
        <v>0</v>
      </c>
      <c r="D3" s="25">
        <v>2.0249999999999999</v>
      </c>
      <c r="E3" s="25">
        <v>3.2069999999999999</v>
      </c>
      <c r="F3" s="25">
        <v>3.9009999999999998</v>
      </c>
      <c r="G3" s="25">
        <v>4.9329999999999998</v>
      </c>
      <c r="H3" s="25">
        <v>5.6870000000000003</v>
      </c>
      <c r="I3" s="25">
        <v>6.9589999999999996</v>
      </c>
      <c r="J3" s="25">
        <v>7.2270000000000003</v>
      </c>
      <c r="K3" s="25">
        <v>8.2050000000000001</v>
      </c>
      <c r="L3" s="25">
        <v>17.068000000000001</v>
      </c>
      <c r="M3" s="25">
        <v>8.1940000000000008</v>
      </c>
      <c r="N3" s="25">
        <v>7.125</v>
      </c>
      <c r="O3" s="25">
        <v>5.3929999999999998</v>
      </c>
      <c r="P3" s="25">
        <v>6.4329999999999998</v>
      </c>
      <c r="Q3" s="25">
        <v>6.375</v>
      </c>
      <c r="R3" s="25">
        <v>10.109</v>
      </c>
      <c r="S3" s="25">
        <v>9.3559999999999999</v>
      </c>
      <c r="T3" s="25">
        <v>9.8620000000000001</v>
      </c>
      <c r="U3" s="25">
        <v>11.766999999999999</v>
      </c>
      <c r="V3" s="25">
        <v>11.35</v>
      </c>
      <c r="W3" s="25">
        <v>10.622999999999999</v>
      </c>
      <c r="X3" s="25">
        <v>19.041</v>
      </c>
      <c r="Y3" s="25">
        <v>5.2649999999999997</v>
      </c>
      <c r="Z3" s="25">
        <v>6.74</v>
      </c>
      <c r="AA3" s="25">
        <v>8.1340000000000003</v>
      </c>
      <c r="AB3" s="25">
        <v>9.8689999999999998</v>
      </c>
      <c r="AC3" s="25">
        <v>19.5</v>
      </c>
      <c r="AD3" s="25">
        <v>18.795000000000002</v>
      </c>
      <c r="AE3" s="25">
        <v>3.008</v>
      </c>
      <c r="AF3" s="25">
        <v>15.375</v>
      </c>
      <c r="AG3" s="25">
        <v>15.664</v>
      </c>
      <c r="AH3" s="25">
        <v>0</v>
      </c>
      <c r="AI3" s="25">
        <v>5.3929999999999998</v>
      </c>
      <c r="AJ3" s="25">
        <v>5.6870000000000003</v>
      </c>
      <c r="AK3" s="25">
        <v>6.9589999999999996</v>
      </c>
      <c r="AL3" s="25">
        <v>6.375</v>
      </c>
      <c r="AM3" s="25">
        <v>15.467000000000001</v>
      </c>
      <c r="AN3" s="25">
        <v>15.343999999999999</v>
      </c>
      <c r="AO3" s="25">
        <v>5.3929999999999998</v>
      </c>
      <c r="AP3" s="25">
        <v>2.6360000000000001</v>
      </c>
      <c r="AQ3" s="25">
        <v>1.704</v>
      </c>
      <c r="AR3" s="25">
        <v>5.3929999999999998</v>
      </c>
      <c r="AS3" s="25">
        <v>5.3929999999999998</v>
      </c>
      <c r="AT3" s="25">
        <v>5.3929999999999998</v>
      </c>
      <c r="AU3" s="25">
        <v>3.8820000000000001</v>
      </c>
      <c r="AV3" s="25">
        <v>5.3929999999999998</v>
      </c>
      <c r="AW3" s="25">
        <v>6.2460000000000004</v>
      </c>
      <c r="AX3" s="25">
        <v>10.974</v>
      </c>
      <c r="AY3" s="25">
        <v>5.3929999999999998</v>
      </c>
      <c r="AZ3" s="25">
        <v>7.2919999999999998</v>
      </c>
      <c r="BA3" s="25">
        <v>5.3929999999999998</v>
      </c>
      <c r="BB3" s="25">
        <v>5.9210000000000003</v>
      </c>
      <c r="BC3" s="25">
        <v>5.3929999999999998</v>
      </c>
      <c r="BD3" s="25">
        <v>6.7160000000000002</v>
      </c>
      <c r="BE3" s="25">
        <v>5.3929999999999998</v>
      </c>
      <c r="BF3" s="25">
        <v>32.633000000000003</v>
      </c>
      <c r="BG3" s="25">
        <v>5.3929999999999998</v>
      </c>
      <c r="BH3" s="25">
        <v>5.3929999999999998</v>
      </c>
      <c r="BI3" s="25">
        <v>21.055</v>
      </c>
      <c r="BJ3" s="25">
        <v>5.3929999999999998</v>
      </c>
      <c r="BK3" s="25">
        <v>5.3929999999999998</v>
      </c>
      <c r="BL3" s="25">
        <v>5.3929999999999998</v>
      </c>
      <c r="BM3" s="25">
        <v>5.3929999999999998</v>
      </c>
      <c r="BN3" s="25">
        <v>5.3929999999999998</v>
      </c>
      <c r="BO3" s="25">
        <v>5.3929999999999998</v>
      </c>
      <c r="BP3" s="25">
        <v>11.337999999999999</v>
      </c>
      <c r="BQ3" s="25">
        <v>4.0419999999999998</v>
      </c>
      <c r="BR3" s="25">
        <v>5.3929999999999998</v>
      </c>
      <c r="BS3" s="25">
        <v>5.3929999999999998</v>
      </c>
      <c r="BT3" s="25">
        <v>5.3929999999999998</v>
      </c>
      <c r="BU3" s="25">
        <v>7.5730000000000004</v>
      </c>
      <c r="BV3" s="25">
        <v>5.3929999999999998</v>
      </c>
      <c r="BW3" s="25">
        <v>5.3929999999999998</v>
      </c>
      <c r="BX3" s="25">
        <v>13.688000000000001</v>
      </c>
      <c r="BY3" s="25">
        <v>5.0570000000000004</v>
      </c>
      <c r="BZ3" s="25">
        <v>3.9260000000000002</v>
      </c>
      <c r="CA3" s="25">
        <v>5.3929999999999998</v>
      </c>
      <c r="CB3" s="25">
        <v>5.3929999999999998</v>
      </c>
      <c r="CC3" s="25">
        <v>4.3600000000000003</v>
      </c>
      <c r="CD3" s="25">
        <v>5.2649999999999997</v>
      </c>
      <c r="CE3" s="25">
        <v>5.3929999999999998</v>
      </c>
      <c r="CF3" s="25">
        <v>12.839</v>
      </c>
      <c r="CG3" s="25">
        <v>20.899000000000001</v>
      </c>
      <c r="CH3" s="25">
        <v>5.3929999999999998</v>
      </c>
      <c r="CI3" s="25">
        <v>5.3929999999999998</v>
      </c>
      <c r="CJ3" s="25">
        <v>5.3929999999999998</v>
      </c>
      <c r="CK3" s="25">
        <v>5.3929999999999998</v>
      </c>
      <c r="CL3" s="25">
        <v>5.3929999999999998</v>
      </c>
      <c r="CM3" s="25">
        <v>5.3929999999999998</v>
      </c>
      <c r="CN3" s="25">
        <v>5.3929999999999998</v>
      </c>
      <c r="CO3" s="25">
        <v>5.3929999999999998</v>
      </c>
      <c r="CP3" s="25">
        <v>5.3929999999999998</v>
      </c>
      <c r="CQ3" s="25">
        <v>5.3929999999999998</v>
      </c>
      <c r="CR3" s="25">
        <v>5.3929999999999998</v>
      </c>
      <c r="CS3" s="25">
        <v>39.755000000000003</v>
      </c>
      <c r="CT3" s="25">
        <v>5.3929999999999998</v>
      </c>
      <c r="CU3" s="25">
        <v>5.3929999999999998</v>
      </c>
      <c r="CV3" s="25">
        <v>8.2669999999999995</v>
      </c>
      <c r="CW3" s="25">
        <v>5.3929999999999998</v>
      </c>
      <c r="CX3" s="25">
        <v>5.3929999999999998</v>
      </c>
      <c r="CY3" s="25">
        <v>5.3929999999999998</v>
      </c>
      <c r="CZ3" s="25">
        <v>6.8540000000000001</v>
      </c>
      <c r="DA3" s="25">
        <v>5.6029999999999998</v>
      </c>
      <c r="DB3" s="25">
        <v>8.8680000000000003</v>
      </c>
      <c r="DC3" s="25">
        <v>8.2010000000000005</v>
      </c>
      <c r="DD3" s="25">
        <v>2.6579999999999999</v>
      </c>
      <c r="DE3" s="25">
        <v>25.695</v>
      </c>
      <c r="DF3" s="25">
        <v>5.3929999999999998</v>
      </c>
      <c r="DG3" s="25">
        <v>3.2610000000000001</v>
      </c>
      <c r="DH3" s="25">
        <v>30.553999999999998</v>
      </c>
      <c r="DI3" s="25">
        <v>5.3929999999999998</v>
      </c>
      <c r="DJ3" s="25">
        <v>5.3929999999999998</v>
      </c>
      <c r="DK3" s="25">
        <v>7.0460000000000003</v>
      </c>
      <c r="DL3" s="25">
        <v>5.3929999999999998</v>
      </c>
      <c r="DM3" s="25">
        <v>25.695</v>
      </c>
      <c r="DN3" s="25">
        <v>5.3929999999999998</v>
      </c>
      <c r="DO3" s="25">
        <v>5.3929999999999998</v>
      </c>
      <c r="DP3" s="25">
        <v>5.3929999999999998</v>
      </c>
      <c r="DQ3" s="25">
        <v>5.3929999999999998</v>
      </c>
      <c r="DR3" s="25">
        <v>5.3929999999999998</v>
      </c>
      <c r="DS3" s="25">
        <v>5.3929999999999998</v>
      </c>
      <c r="DT3" s="25">
        <v>5.3929999999999998</v>
      </c>
      <c r="DU3" s="25">
        <v>2.5190000000000001</v>
      </c>
      <c r="DV3" s="25">
        <v>5.3929999999999998</v>
      </c>
      <c r="DW3" s="25">
        <v>17.565000000000001</v>
      </c>
      <c r="DX3" s="25">
        <v>20.128</v>
      </c>
      <c r="DY3" s="25">
        <v>5.3929999999999998</v>
      </c>
      <c r="DZ3" s="25">
        <v>20.393000000000001</v>
      </c>
      <c r="EA3" s="25">
        <v>5.3929999999999998</v>
      </c>
      <c r="EB3" s="25">
        <v>3.2320000000000002</v>
      </c>
      <c r="EC3" s="25">
        <v>5.3929999999999998</v>
      </c>
      <c r="ED3" s="25">
        <v>5.3929999999999998</v>
      </c>
      <c r="EE3" s="25">
        <v>5.3929999999999998</v>
      </c>
      <c r="EF3" s="25">
        <v>5.3929999999999998</v>
      </c>
      <c r="EG3" s="25">
        <v>2.74</v>
      </c>
      <c r="EH3" s="25">
        <v>20.533000000000001</v>
      </c>
      <c r="EI3" s="25">
        <v>5.3929999999999998</v>
      </c>
      <c r="EJ3" s="25">
        <v>6.375</v>
      </c>
      <c r="EK3" s="25">
        <v>5.3929999999999998</v>
      </c>
      <c r="EL3" s="25">
        <v>5.3929999999999998</v>
      </c>
      <c r="EM3" s="25">
        <v>10.567</v>
      </c>
      <c r="EN3" s="25">
        <v>5.3929999999999998</v>
      </c>
      <c r="EO3" s="25">
        <v>9.8800000000000008</v>
      </c>
      <c r="EP3" s="25">
        <v>5.3929999999999998</v>
      </c>
      <c r="EQ3" s="25">
        <v>5.3929999999999998</v>
      </c>
      <c r="ER3" s="25">
        <v>38.667999999999999</v>
      </c>
      <c r="ES3" s="25">
        <v>19.584</v>
      </c>
      <c r="ET3" s="25">
        <v>5.3929999999999998</v>
      </c>
      <c r="EU3" s="25">
        <v>5.3929999999999998</v>
      </c>
      <c r="EV3" s="25">
        <v>5.3929999999999998</v>
      </c>
      <c r="EW3" s="25"/>
    </row>
    <row r="4" spans="1:153" ht="17.25" customHeight="1" x14ac:dyDescent="0.25">
      <c r="A4" s="25" t="s">
        <v>124</v>
      </c>
      <c r="B4" s="25">
        <v>2.5089999999999999</v>
      </c>
      <c r="C4" s="25">
        <v>1.258</v>
      </c>
      <c r="D4" s="25">
        <v>0</v>
      </c>
      <c r="E4" s="25">
        <v>1.1819999999999999</v>
      </c>
      <c r="F4" s="25">
        <v>1.8759999999999999</v>
      </c>
      <c r="G4" s="25">
        <v>2.9079999999999999</v>
      </c>
      <c r="H4" s="25">
        <v>3.6619999999999999</v>
      </c>
      <c r="I4" s="25">
        <v>4.9340000000000002</v>
      </c>
      <c r="J4" s="25">
        <v>5.202</v>
      </c>
      <c r="K4" s="25">
        <v>6.18</v>
      </c>
      <c r="L4" s="25">
        <v>7.1360000000000001</v>
      </c>
      <c r="M4" s="25">
        <v>6.0060000000000002</v>
      </c>
      <c r="N4" s="25">
        <v>5.0999999999999996</v>
      </c>
      <c r="O4" s="25">
        <v>3.3679999999999999</v>
      </c>
      <c r="P4" s="25">
        <v>3.7930000000000001</v>
      </c>
      <c r="Q4" s="25">
        <v>4.05</v>
      </c>
      <c r="R4" s="25">
        <v>5.2190000000000003</v>
      </c>
      <c r="S4" s="25">
        <v>6.0750000000000002</v>
      </c>
      <c r="T4" s="25">
        <v>7.0259999999999998</v>
      </c>
      <c r="U4" s="25">
        <v>8.5079999999999991</v>
      </c>
      <c r="V4" s="25">
        <v>8.5139999999999993</v>
      </c>
      <c r="W4" s="25">
        <v>7.7869999999999999</v>
      </c>
      <c r="X4" s="25">
        <v>13.19</v>
      </c>
      <c r="Y4" s="25">
        <v>8.08</v>
      </c>
      <c r="Z4" s="25">
        <v>9.5559999999999992</v>
      </c>
      <c r="AA4" s="25">
        <v>9.8379999999999992</v>
      </c>
      <c r="AB4" s="25">
        <v>11.573</v>
      </c>
      <c r="AC4" s="25">
        <v>20.69</v>
      </c>
      <c r="AD4" s="25">
        <v>12.944000000000001</v>
      </c>
      <c r="AE4" s="25">
        <v>4.266</v>
      </c>
      <c r="AF4" s="25">
        <v>9.5069999999999997</v>
      </c>
      <c r="AG4" s="25">
        <v>8.6</v>
      </c>
      <c r="AH4" s="25">
        <v>1.258</v>
      </c>
      <c r="AI4" s="25">
        <v>3.3679999999999999</v>
      </c>
      <c r="AJ4" s="25">
        <v>3.6619999999999999</v>
      </c>
      <c r="AK4" s="25">
        <v>4.9340000000000002</v>
      </c>
      <c r="AL4" s="25">
        <v>4.05</v>
      </c>
      <c r="AM4" s="25">
        <v>8.3379999999999992</v>
      </c>
      <c r="AN4" s="25">
        <v>11.872</v>
      </c>
      <c r="AO4" s="25">
        <v>3.3679999999999999</v>
      </c>
      <c r="AP4" s="25">
        <v>3.8940000000000001</v>
      </c>
      <c r="AQ4" s="25">
        <v>1.8180000000000001</v>
      </c>
      <c r="AR4" s="25">
        <v>3.3679999999999999</v>
      </c>
      <c r="AS4" s="25">
        <v>3.3679999999999999</v>
      </c>
      <c r="AT4" s="25">
        <v>3.3679999999999999</v>
      </c>
      <c r="AU4" s="25">
        <v>1.9730000000000001</v>
      </c>
      <c r="AV4" s="25">
        <v>3.3679999999999999</v>
      </c>
      <c r="AW4" s="25">
        <v>4.3230000000000004</v>
      </c>
      <c r="AX4" s="25">
        <v>8.7859999999999996</v>
      </c>
      <c r="AY4" s="25">
        <v>3.3679999999999999</v>
      </c>
      <c r="AZ4" s="25">
        <v>5.2670000000000003</v>
      </c>
      <c r="BA4" s="25">
        <v>3.3679999999999999</v>
      </c>
      <c r="BB4" s="25">
        <v>3.8959999999999999</v>
      </c>
      <c r="BC4" s="25">
        <v>3.3679999999999999</v>
      </c>
      <c r="BD4" s="25">
        <v>4.6909999999999998</v>
      </c>
      <c r="BE4" s="25">
        <v>3.3679999999999999</v>
      </c>
      <c r="BF4" s="25">
        <v>33.823</v>
      </c>
      <c r="BG4" s="25">
        <v>3.3679999999999999</v>
      </c>
      <c r="BH4" s="25">
        <v>3.3679999999999999</v>
      </c>
      <c r="BI4" s="25">
        <v>22.251999999999999</v>
      </c>
      <c r="BJ4" s="25">
        <v>3.3679999999999999</v>
      </c>
      <c r="BK4" s="25">
        <v>3.3679999999999999</v>
      </c>
      <c r="BL4" s="25">
        <v>3.3679999999999999</v>
      </c>
      <c r="BM4" s="25">
        <v>3.3679999999999999</v>
      </c>
      <c r="BN4" s="25">
        <v>3.3679999999999999</v>
      </c>
      <c r="BO4" s="25">
        <v>3.3679999999999999</v>
      </c>
      <c r="BP4" s="25">
        <v>8.08</v>
      </c>
      <c r="BQ4" s="25">
        <v>2.0169999999999999</v>
      </c>
      <c r="BR4" s="25">
        <v>3.3679999999999999</v>
      </c>
      <c r="BS4" s="25">
        <v>3.3679999999999999</v>
      </c>
      <c r="BT4" s="25">
        <v>3.3679999999999999</v>
      </c>
      <c r="BU4" s="25">
        <v>6.9749999999999996</v>
      </c>
      <c r="BV4" s="25">
        <v>3.3679999999999999</v>
      </c>
      <c r="BW4" s="25">
        <v>3.3679999999999999</v>
      </c>
      <c r="BX4" s="25">
        <v>7.8049999999999997</v>
      </c>
      <c r="BY4" s="25">
        <v>3.032</v>
      </c>
      <c r="BZ4" s="25">
        <v>1.782</v>
      </c>
      <c r="CA4" s="25">
        <v>3.3679999999999999</v>
      </c>
      <c r="CB4" s="25">
        <v>3.3679999999999999</v>
      </c>
      <c r="CC4" s="25">
        <v>6.2359999999999998</v>
      </c>
      <c r="CD4" s="25">
        <v>8.08</v>
      </c>
      <c r="CE4" s="25">
        <v>3.3679999999999999</v>
      </c>
      <c r="CF4" s="25">
        <v>14.029</v>
      </c>
      <c r="CG4" s="25">
        <v>22.088999999999999</v>
      </c>
      <c r="CH4" s="25">
        <v>3.3679999999999999</v>
      </c>
      <c r="CI4" s="25">
        <v>3.3679999999999999</v>
      </c>
      <c r="CJ4" s="25">
        <v>3.3679999999999999</v>
      </c>
      <c r="CK4" s="25">
        <v>3.3679999999999999</v>
      </c>
      <c r="CL4" s="25">
        <v>3.3679999999999999</v>
      </c>
      <c r="CM4" s="25">
        <v>3.3679999999999999</v>
      </c>
      <c r="CN4" s="25">
        <v>3.3679999999999999</v>
      </c>
      <c r="CO4" s="25">
        <v>3.3679999999999999</v>
      </c>
      <c r="CP4" s="25">
        <v>3.3679999999999999</v>
      </c>
      <c r="CQ4" s="25">
        <v>3.3679999999999999</v>
      </c>
      <c r="CR4" s="25">
        <v>3.3679999999999999</v>
      </c>
      <c r="CS4" s="25">
        <v>40.951000000000001</v>
      </c>
      <c r="CT4" s="25">
        <v>3.3679999999999999</v>
      </c>
      <c r="CU4" s="25">
        <v>3.3679999999999999</v>
      </c>
      <c r="CV4" s="25">
        <v>6.4119999999999999</v>
      </c>
      <c r="CW4" s="25">
        <v>3.3679999999999999</v>
      </c>
      <c r="CX4" s="25">
        <v>3.3679999999999999</v>
      </c>
      <c r="CY4" s="25">
        <v>3.3679999999999999</v>
      </c>
      <c r="CZ4" s="25">
        <v>6.2560000000000002</v>
      </c>
      <c r="DA4" s="25">
        <v>3.278</v>
      </c>
      <c r="DB4" s="25">
        <v>11.683999999999999</v>
      </c>
      <c r="DC4" s="25">
        <v>11.016999999999999</v>
      </c>
      <c r="DD4" s="25">
        <v>0.622</v>
      </c>
      <c r="DE4" s="25">
        <v>20.018999999999998</v>
      </c>
      <c r="DF4" s="25">
        <v>3.3679999999999999</v>
      </c>
      <c r="DG4" s="25">
        <v>4.4630000000000001</v>
      </c>
      <c r="DH4" s="25">
        <v>31.744</v>
      </c>
      <c r="DI4" s="25">
        <v>3.3679999999999999</v>
      </c>
      <c r="DJ4" s="25">
        <v>3.3679999999999999</v>
      </c>
      <c r="DK4" s="25">
        <v>5.2770000000000001</v>
      </c>
      <c r="DL4" s="25">
        <v>3.3679999999999999</v>
      </c>
      <c r="DM4" s="25">
        <v>20.018999999999998</v>
      </c>
      <c r="DN4" s="25">
        <v>3.3679999999999999</v>
      </c>
      <c r="DO4" s="25">
        <v>3.3679999999999999</v>
      </c>
      <c r="DP4" s="25">
        <v>3.3679999999999999</v>
      </c>
      <c r="DQ4" s="25">
        <v>3.3679999999999999</v>
      </c>
      <c r="DR4" s="25">
        <v>3.3679999999999999</v>
      </c>
      <c r="DS4" s="25">
        <v>3.3679999999999999</v>
      </c>
      <c r="DT4" s="25">
        <v>3.3679999999999999</v>
      </c>
      <c r="DU4" s="25">
        <v>2.5569999999999999</v>
      </c>
      <c r="DV4" s="25">
        <v>3.3679999999999999</v>
      </c>
      <c r="DW4" s="25">
        <v>11.714</v>
      </c>
      <c r="DX4" s="25">
        <v>17.305</v>
      </c>
      <c r="DY4" s="25">
        <v>3.3679999999999999</v>
      </c>
      <c r="DZ4" s="25">
        <v>17.57</v>
      </c>
      <c r="EA4" s="25">
        <v>3.3679999999999999</v>
      </c>
      <c r="EB4" s="25">
        <v>4.4340000000000002</v>
      </c>
      <c r="EC4" s="25">
        <v>3.3679999999999999</v>
      </c>
      <c r="ED4" s="25">
        <v>3.3679999999999999</v>
      </c>
      <c r="EE4" s="25">
        <v>3.3679999999999999</v>
      </c>
      <c r="EF4" s="25">
        <v>3.3679999999999999</v>
      </c>
      <c r="EG4" s="25">
        <v>3.6909999999999998</v>
      </c>
      <c r="EH4" s="25">
        <v>10.563000000000001</v>
      </c>
      <c r="EI4" s="25">
        <v>3.3679999999999999</v>
      </c>
      <c r="EJ4" s="25">
        <v>4.05</v>
      </c>
      <c r="EK4" s="25">
        <v>3.3679999999999999</v>
      </c>
      <c r="EL4" s="25">
        <v>3.3679999999999999</v>
      </c>
      <c r="EM4" s="25">
        <v>7.7309999999999999</v>
      </c>
      <c r="EN4" s="25">
        <v>3.3679999999999999</v>
      </c>
      <c r="EO4" s="25">
        <v>6.6219999999999999</v>
      </c>
      <c r="EP4" s="25">
        <v>3.3679999999999999</v>
      </c>
      <c r="EQ4" s="25">
        <v>3.3679999999999999</v>
      </c>
      <c r="ER4" s="25">
        <v>39.857999999999997</v>
      </c>
      <c r="ES4" s="25">
        <v>13.733000000000001</v>
      </c>
      <c r="ET4" s="25">
        <v>3.3679999999999999</v>
      </c>
      <c r="EU4" s="25">
        <v>3.3679999999999999</v>
      </c>
      <c r="EV4" s="25">
        <v>3.3679999999999999</v>
      </c>
      <c r="EW4" s="25"/>
    </row>
    <row r="5" spans="1:153" ht="17.25" customHeight="1" x14ac:dyDescent="0.25">
      <c r="A5" s="25" t="s">
        <v>125</v>
      </c>
      <c r="B5" s="25">
        <v>3.25</v>
      </c>
      <c r="C5" s="25">
        <v>1.9990000000000001</v>
      </c>
      <c r="D5" s="25">
        <v>1.387</v>
      </c>
      <c r="E5" s="25">
        <v>0</v>
      </c>
      <c r="F5" s="25">
        <v>1.01</v>
      </c>
      <c r="G5" s="25">
        <v>2.0419999999999998</v>
      </c>
      <c r="H5" s="25">
        <v>2.7959999999999998</v>
      </c>
      <c r="I5" s="25">
        <v>4.0679999999999996</v>
      </c>
      <c r="J5" s="25">
        <v>4.3360000000000003</v>
      </c>
      <c r="K5" s="25">
        <v>5.3140000000000001</v>
      </c>
      <c r="L5" s="25">
        <v>6.27</v>
      </c>
      <c r="M5" s="25">
        <v>5.33</v>
      </c>
      <c r="N5" s="25">
        <v>4.234</v>
      </c>
      <c r="O5" s="25">
        <v>2.5019999999999998</v>
      </c>
      <c r="P5" s="25">
        <v>2.927</v>
      </c>
      <c r="Q5" s="25">
        <v>3.835</v>
      </c>
      <c r="R5" s="25">
        <v>4.8419999999999996</v>
      </c>
      <c r="S5" s="25">
        <v>5.7770000000000001</v>
      </c>
      <c r="T5" s="25">
        <v>6.16</v>
      </c>
      <c r="U5" s="25">
        <v>8.2100000000000009</v>
      </c>
      <c r="V5" s="25">
        <v>7.399</v>
      </c>
      <c r="W5" s="25">
        <v>6.9210000000000003</v>
      </c>
      <c r="X5" s="25">
        <v>12.324</v>
      </c>
      <c r="Y5" s="25">
        <v>7.2640000000000002</v>
      </c>
      <c r="Z5" s="25">
        <v>8.7390000000000008</v>
      </c>
      <c r="AA5" s="25">
        <v>10.45</v>
      </c>
      <c r="AB5" s="25">
        <v>12.185</v>
      </c>
      <c r="AC5" s="25">
        <v>21.302</v>
      </c>
      <c r="AD5" s="25">
        <v>12.077999999999999</v>
      </c>
      <c r="AE5" s="25">
        <v>5.0069999999999997</v>
      </c>
      <c r="AF5" s="25">
        <v>8.641</v>
      </c>
      <c r="AG5" s="25">
        <v>7.734</v>
      </c>
      <c r="AH5" s="25">
        <v>1.9990000000000001</v>
      </c>
      <c r="AI5" s="25">
        <v>2.5019999999999998</v>
      </c>
      <c r="AJ5" s="25">
        <v>2.7959999999999998</v>
      </c>
      <c r="AK5" s="25">
        <v>4.0679999999999996</v>
      </c>
      <c r="AL5" s="25">
        <v>3.835</v>
      </c>
      <c r="AM5" s="25">
        <v>7.4720000000000004</v>
      </c>
      <c r="AN5" s="25">
        <v>11.657</v>
      </c>
      <c r="AO5" s="25">
        <v>2.5019999999999998</v>
      </c>
      <c r="AP5" s="25">
        <v>4.6349999999999998</v>
      </c>
      <c r="AQ5" s="25">
        <v>2.4809999999999999</v>
      </c>
      <c r="AR5" s="25">
        <v>2.5019999999999998</v>
      </c>
      <c r="AS5" s="25">
        <v>2.5019999999999998</v>
      </c>
      <c r="AT5" s="25">
        <v>2.5019999999999998</v>
      </c>
      <c r="AU5" s="25">
        <v>2.758</v>
      </c>
      <c r="AV5" s="25">
        <v>2.5019999999999998</v>
      </c>
      <c r="AW5" s="25">
        <v>3.738</v>
      </c>
      <c r="AX5" s="25">
        <v>8.0139999999999993</v>
      </c>
      <c r="AY5" s="25">
        <v>2.5019999999999998</v>
      </c>
      <c r="AZ5" s="25">
        <v>4.4009999999999998</v>
      </c>
      <c r="BA5" s="25">
        <v>2.5019999999999998</v>
      </c>
      <c r="BB5" s="25">
        <v>3.03</v>
      </c>
      <c r="BC5" s="25">
        <v>2.5019999999999998</v>
      </c>
      <c r="BD5" s="25">
        <v>3.8250000000000002</v>
      </c>
      <c r="BE5" s="25">
        <v>2.5019999999999998</v>
      </c>
      <c r="BF5" s="25">
        <v>34.435000000000002</v>
      </c>
      <c r="BG5" s="25">
        <v>2.5019999999999998</v>
      </c>
      <c r="BH5" s="25">
        <v>2.5019999999999998</v>
      </c>
      <c r="BI5" s="25">
        <v>22.864000000000001</v>
      </c>
      <c r="BJ5" s="25">
        <v>2.5019999999999998</v>
      </c>
      <c r="BK5" s="25">
        <v>2.5019999999999998</v>
      </c>
      <c r="BL5" s="25">
        <v>2.5019999999999998</v>
      </c>
      <c r="BM5" s="25">
        <v>2.5019999999999998</v>
      </c>
      <c r="BN5" s="25">
        <v>2.5019999999999998</v>
      </c>
      <c r="BO5" s="25">
        <v>2.5019999999999998</v>
      </c>
      <c r="BP5" s="25">
        <v>7.782</v>
      </c>
      <c r="BQ5" s="25">
        <v>1.133</v>
      </c>
      <c r="BR5" s="25">
        <v>2.5019999999999998</v>
      </c>
      <c r="BS5" s="25">
        <v>2.5019999999999998</v>
      </c>
      <c r="BT5" s="25">
        <v>2.5019999999999998</v>
      </c>
      <c r="BU5" s="25">
        <v>7.1950000000000003</v>
      </c>
      <c r="BV5" s="25">
        <v>2.5019999999999998</v>
      </c>
      <c r="BW5" s="25">
        <v>2.5019999999999998</v>
      </c>
      <c r="BX5" s="25">
        <v>6.9390000000000001</v>
      </c>
      <c r="BY5" s="25">
        <v>2.1659999999999999</v>
      </c>
      <c r="BZ5" s="25">
        <v>0.89700000000000002</v>
      </c>
      <c r="CA5" s="25">
        <v>2.5019999999999998</v>
      </c>
      <c r="CB5" s="25">
        <v>2.5019999999999998</v>
      </c>
      <c r="CC5" s="25">
        <v>7.0739999999999998</v>
      </c>
      <c r="CD5" s="25">
        <v>7.2640000000000002</v>
      </c>
      <c r="CE5" s="25">
        <v>2.5019999999999998</v>
      </c>
      <c r="CF5" s="25">
        <v>14.641</v>
      </c>
      <c r="CG5" s="25">
        <v>22.701000000000001</v>
      </c>
      <c r="CH5" s="25">
        <v>2.5019999999999998</v>
      </c>
      <c r="CI5" s="25">
        <v>2.5019999999999998</v>
      </c>
      <c r="CJ5" s="25">
        <v>2.5019999999999998</v>
      </c>
      <c r="CK5" s="25">
        <v>2.5019999999999998</v>
      </c>
      <c r="CL5" s="25">
        <v>2.5019999999999998</v>
      </c>
      <c r="CM5" s="25">
        <v>2.5019999999999998</v>
      </c>
      <c r="CN5" s="25">
        <v>2.5019999999999998</v>
      </c>
      <c r="CO5" s="25">
        <v>2.5019999999999998</v>
      </c>
      <c r="CP5" s="25">
        <v>2.5019999999999998</v>
      </c>
      <c r="CQ5" s="25">
        <v>2.5019999999999998</v>
      </c>
      <c r="CR5" s="25">
        <v>2.5019999999999998</v>
      </c>
      <c r="CS5" s="25">
        <v>41.563000000000002</v>
      </c>
      <c r="CT5" s="25">
        <v>2.5019999999999998</v>
      </c>
      <c r="CU5" s="25">
        <v>2.5019999999999998</v>
      </c>
      <c r="CV5" s="25">
        <v>5.5460000000000003</v>
      </c>
      <c r="CW5" s="25">
        <v>2.5019999999999998</v>
      </c>
      <c r="CX5" s="25">
        <v>2.5019999999999998</v>
      </c>
      <c r="CY5" s="25">
        <v>2.5019999999999998</v>
      </c>
      <c r="CZ5" s="25">
        <v>6.476</v>
      </c>
      <c r="DA5" s="25">
        <v>3.0630000000000002</v>
      </c>
      <c r="DB5" s="25">
        <v>10.867000000000001</v>
      </c>
      <c r="DC5" s="25">
        <v>10.199999999999999</v>
      </c>
      <c r="DD5" s="25">
        <v>1.407</v>
      </c>
      <c r="DE5" s="25">
        <v>19.152999999999999</v>
      </c>
      <c r="DF5" s="25">
        <v>2.5019999999999998</v>
      </c>
      <c r="DG5" s="25">
        <v>5.0750000000000002</v>
      </c>
      <c r="DH5" s="25">
        <v>32.356000000000002</v>
      </c>
      <c r="DI5" s="25">
        <v>2.5019999999999998</v>
      </c>
      <c r="DJ5" s="25">
        <v>2.5019999999999998</v>
      </c>
      <c r="DK5" s="25">
        <v>4.5060000000000002</v>
      </c>
      <c r="DL5" s="25">
        <v>2.5019999999999998</v>
      </c>
      <c r="DM5" s="25">
        <v>19.152999999999999</v>
      </c>
      <c r="DN5" s="25">
        <v>2.5019999999999998</v>
      </c>
      <c r="DO5" s="25">
        <v>2.5019999999999998</v>
      </c>
      <c r="DP5" s="25">
        <v>2.5019999999999998</v>
      </c>
      <c r="DQ5" s="25">
        <v>2.5019999999999998</v>
      </c>
      <c r="DR5" s="25">
        <v>2.5019999999999998</v>
      </c>
      <c r="DS5" s="25">
        <v>2.5019999999999998</v>
      </c>
      <c r="DT5" s="25">
        <v>2.5019999999999998</v>
      </c>
      <c r="DU5" s="25">
        <v>3.169</v>
      </c>
      <c r="DV5" s="25">
        <v>2.5019999999999998</v>
      </c>
      <c r="DW5" s="25">
        <v>10.848000000000001</v>
      </c>
      <c r="DX5" s="25">
        <v>16.439</v>
      </c>
      <c r="DY5" s="25">
        <v>2.5019999999999998</v>
      </c>
      <c r="DZ5" s="25">
        <v>16.704000000000001</v>
      </c>
      <c r="EA5" s="25">
        <v>2.5019999999999998</v>
      </c>
      <c r="EB5" s="25">
        <v>5.0460000000000003</v>
      </c>
      <c r="EC5" s="25">
        <v>2.5019999999999998</v>
      </c>
      <c r="ED5" s="25">
        <v>2.5019999999999998</v>
      </c>
      <c r="EE5" s="25">
        <v>2.5019999999999998</v>
      </c>
      <c r="EF5" s="25">
        <v>2.5019999999999998</v>
      </c>
      <c r="EG5" s="25">
        <v>4.3029999999999999</v>
      </c>
      <c r="EH5" s="25">
        <v>9.6969999999999992</v>
      </c>
      <c r="EI5" s="25">
        <v>2.5019999999999998</v>
      </c>
      <c r="EJ5" s="25">
        <v>3.835</v>
      </c>
      <c r="EK5" s="25">
        <v>2.5019999999999998</v>
      </c>
      <c r="EL5" s="25">
        <v>2.5019999999999998</v>
      </c>
      <c r="EM5" s="25">
        <v>6.8650000000000002</v>
      </c>
      <c r="EN5" s="25">
        <v>2.5019999999999998</v>
      </c>
      <c r="EO5" s="25">
        <v>6.3239999999999998</v>
      </c>
      <c r="EP5" s="25">
        <v>2.5019999999999998</v>
      </c>
      <c r="EQ5" s="25">
        <v>2.5019999999999998</v>
      </c>
      <c r="ER5" s="25">
        <v>40.47</v>
      </c>
      <c r="ES5" s="25">
        <v>12.867000000000001</v>
      </c>
      <c r="ET5" s="25">
        <v>2.5019999999999998</v>
      </c>
      <c r="EU5" s="25">
        <v>2.5019999999999998</v>
      </c>
      <c r="EV5" s="25">
        <v>2.5019999999999998</v>
      </c>
      <c r="EW5" s="25"/>
    </row>
    <row r="6" spans="1:153" ht="17.25" customHeight="1" x14ac:dyDescent="0.25">
      <c r="A6" s="25" t="s">
        <v>126</v>
      </c>
      <c r="B6" s="25">
        <v>3.9350000000000001</v>
      </c>
      <c r="C6" s="25">
        <v>2.6840000000000002</v>
      </c>
      <c r="D6" s="25">
        <v>2.0720000000000001</v>
      </c>
      <c r="E6" s="25">
        <v>0.68500000000000005</v>
      </c>
      <c r="F6" s="25">
        <v>0</v>
      </c>
      <c r="G6" s="25">
        <v>1.7250000000000001</v>
      </c>
      <c r="H6" s="25">
        <v>2.4790000000000001</v>
      </c>
      <c r="I6" s="25">
        <v>3.7509999999999999</v>
      </c>
      <c r="J6" s="25">
        <v>4.0190000000000001</v>
      </c>
      <c r="K6" s="25">
        <v>4.9969999999999999</v>
      </c>
      <c r="L6" s="25">
        <v>5.9530000000000003</v>
      </c>
      <c r="M6" s="25">
        <v>4.7060000000000004</v>
      </c>
      <c r="N6" s="25">
        <v>3.9169999999999998</v>
      </c>
      <c r="O6" s="25">
        <v>2.1850000000000001</v>
      </c>
      <c r="P6" s="25">
        <v>2.61</v>
      </c>
      <c r="Q6" s="25">
        <v>2.72</v>
      </c>
      <c r="R6" s="25">
        <v>3.7269999999999999</v>
      </c>
      <c r="S6" s="25">
        <v>4.6619999999999999</v>
      </c>
      <c r="T6" s="25">
        <v>5.0519999999999996</v>
      </c>
      <c r="U6" s="25">
        <v>7.0949999999999998</v>
      </c>
      <c r="V6" s="25">
        <v>6.2839999999999998</v>
      </c>
      <c r="W6" s="25">
        <v>5.8129999999999997</v>
      </c>
      <c r="X6" s="25">
        <v>12.007</v>
      </c>
      <c r="Y6" s="25">
        <v>9.0969999999999995</v>
      </c>
      <c r="Z6" s="25">
        <v>10.573</v>
      </c>
      <c r="AA6" s="25">
        <v>11.135999999999999</v>
      </c>
      <c r="AB6" s="25">
        <v>12.871</v>
      </c>
      <c r="AC6" s="25">
        <v>24.244</v>
      </c>
      <c r="AD6" s="25">
        <v>11.760999999999999</v>
      </c>
      <c r="AE6" s="25">
        <v>5.6920000000000002</v>
      </c>
      <c r="AF6" s="25">
        <v>8.3239999999999998</v>
      </c>
      <c r="AG6" s="25">
        <v>7.4169999999999998</v>
      </c>
      <c r="AH6" s="25">
        <v>2.6840000000000002</v>
      </c>
      <c r="AI6" s="25">
        <v>2.1850000000000001</v>
      </c>
      <c r="AJ6" s="25">
        <v>2.4790000000000001</v>
      </c>
      <c r="AK6" s="25">
        <v>3.7509999999999999</v>
      </c>
      <c r="AL6" s="25">
        <v>2.72</v>
      </c>
      <c r="AM6" s="25">
        <v>7.1550000000000002</v>
      </c>
      <c r="AN6" s="25">
        <v>10.548</v>
      </c>
      <c r="AO6" s="25">
        <v>2.1850000000000001</v>
      </c>
      <c r="AP6" s="25">
        <v>5.32</v>
      </c>
      <c r="AQ6" s="25">
        <v>3.1669999999999998</v>
      </c>
      <c r="AR6" s="25">
        <v>2.1850000000000001</v>
      </c>
      <c r="AS6" s="25">
        <v>2.1850000000000001</v>
      </c>
      <c r="AT6" s="25">
        <v>2.1850000000000001</v>
      </c>
      <c r="AU6" s="25">
        <v>3.0369999999999999</v>
      </c>
      <c r="AV6" s="25">
        <v>2.1850000000000001</v>
      </c>
      <c r="AW6" s="25">
        <v>2.629</v>
      </c>
      <c r="AX6" s="25">
        <v>7.4859999999999998</v>
      </c>
      <c r="AY6" s="25">
        <v>2.1850000000000001</v>
      </c>
      <c r="AZ6" s="25">
        <v>4.0839999999999996</v>
      </c>
      <c r="BA6" s="25">
        <v>2.1850000000000001</v>
      </c>
      <c r="BB6" s="25">
        <v>2.7130000000000001</v>
      </c>
      <c r="BC6" s="25">
        <v>2.1850000000000001</v>
      </c>
      <c r="BD6" s="25">
        <v>3.508</v>
      </c>
      <c r="BE6" s="25">
        <v>2.1850000000000001</v>
      </c>
      <c r="BF6" s="25">
        <v>37.375999999999998</v>
      </c>
      <c r="BG6" s="25">
        <v>2.1850000000000001</v>
      </c>
      <c r="BH6" s="25">
        <v>2.1850000000000001</v>
      </c>
      <c r="BI6" s="25">
        <v>23.55</v>
      </c>
      <c r="BJ6" s="25">
        <v>2.1850000000000001</v>
      </c>
      <c r="BK6" s="25">
        <v>2.1850000000000001</v>
      </c>
      <c r="BL6" s="25">
        <v>2.1850000000000001</v>
      </c>
      <c r="BM6" s="25">
        <v>2.1850000000000001</v>
      </c>
      <c r="BN6" s="25">
        <v>2.1850000000000001</v>
      </c>
      <c r="BO6" s="25">
        <v>2.1850000000000001</v>
      </c>
      <c r="BP6" s="25">
        <v>6.6669999999999998</v>
      </c>
      <c r="BQ6" s="25">
        <v>1.046</v>
      </c>
      <c r="BR6" s="25">
        <v>2.1850000000000001</v>
      </c>
      <c r="BS6" s="25">
        <v>2.1850000000000001</v>
      </c>
      <c r="BT6" s="25">
        <v>2.1850000000000001</v>
      </c>
      <c r="BU6" s="25">
        <v>7.3230000000000004</v>
      </c>
      <c r="BV6" s="25">
        <v>2.1850000000000001</v>
      </c>
      <c r="BW6" s="25">
        <v>2.1850000000000001</v>
      </c>
      <c r="BX6" s="25">
        <v>6.4580000000000002</v>
      </c>
      <c r="BY6" s="25">
        <v>1.651</v>
      </c>
      <c r="BZ6" s="25">
        <v>0.81</v>
      </c>
      <c r="CA6" s="25">
        <v>2.1850000000000001</v>
      </c>
      <c r="CB6" s="25">
        <v>2.1850000000000001</v>
      </c>
      <c r="CC6" s="25">
        <v>7.2530000000000001</v>
      </c>
      <c r="CD6" s="25">
        <v>9.0969999999999995</v>
      </c>
      <c r="CE6" s="25">
        <v>2.1850000000000001</v>
      </c>
      <c r="CF6" s="25">
        <v>17.582999999999998</v>
      </c>
      <c r="CG6" s="25">
        <v>25.643000000000001</v>
      </c>
      <c r="CH6" s="25">
        <v>2.1850000000000001</v>
      </c>
      <c r="CI6" s="25">
        <v>2.1850000000000001</v>
      </c>
      <c r="CJ6" s="25">
        <v>2.1850000000000001</v>
      </c>
      <c r="CK6" s="25">
        <v>2.1850000000000001</v>
      </c>
      <c r="CL6" s="25">
        <v>2.1850000000000001</v>
      </c>
      <c r="CM6" s="25">
        <v>2.1850000000000001</v>
      </c>
      <c r="CN6" s="25">
        <v>2.1850000000000001</v>
      </c>
      <c r="CO6" s="25">
        <v>2.1850000000000001</v>
      </c>
      <c r="CP6" s="25">
        <v>2.1850000000000001</v>
      </c>
      <c r="CQ6" s="25">
        <v>2.1850000000000001</v>
      </c>
      <c r="CR6" s="25">
        <v>2.1850000000000001</v>
      </c>
      <c r="CS6" s="25">
        <v>42.249000000000002</v>
      </c>
      <c r="CT6" s="25">
        <v>2.1850000000000001</v>
      </c>
      <c r="CU6" s="25">
        <v>2.1850000000000001</v>
      </c>
      <c r="CV6" s="25">
        <v>5.2290000000000001</v>
      </c>
      <c r="CW6" s="25">
        <v>2.1850000000000001</v>
      </c>
      <c r="CX6" s="25">
        <v>2.1850000000000001</v>
      </c>
      <c r="CY6" s="25">
        <v>2.1850000000000001</v>
      </c>
      <c r="CZ6" s="25">
        <v>6.6040000000000001</v>
      </c>
      <c r="DA6" s="25">
        <v>1.9279999999999999</v>
      </c>
      <c r="DB6" s="25">
        <v>12.701000000000001</v>
      </c>
      <c r="DC6" s="25">
        <v>12.034000000000001</v>
      </c>
      <c r="DD6" s="25">
        <v>2.0920000000000001</v>
      </c>
      <c r="DE6" s="25">
        <v>20.898</v>
      </c>
      <c r="DF6" s="25">
        <v>2.1850000000000001</v>
      </c>
      <c r="DG6" s="25">
        <v>5.7610000000000001</v>
      </c>
      <c r="DH6" s="25">
        <v>35.296999999999997</v>
      </c>
      <c r="DI6" s="25">
        <v>2.1850000000000001</v>
      </c>
      <c r="DJ6" s="25">
        <v>2.1850000000000001</v>
      </c>
      <c r="DK6" s="25">
        <v>3.391</v>
      </c>
      <c r="DL6" s="25">
        <v>2.1850000000000001</v>
      </c>
      <c r="DM6" s="25">
        <v>20.898</v>
      </c>
      <c r="DN6" s="25">
        <v>2.1850000000000001</v>
      </c>
      <c r="DO6" s="25">
        <v>2.1850000000000001</v>
      </c>
      <c r="DP6" s="25">
        <v>2.1850000000000001</v>
      </c>
      <c r="DQ6" s="25">
        <v>2.1850000000000001</v>
      </c>
      <c r="DR6" s="25">
        <v>2.1850000000000001</v>
      </c>
      <c r="DS6" s="25">
        <v>2.1850000000000001</v>
      </c>
      <c r="DT6" s="25">
        <v>2.1850000000000001</v>
      </c>
      <c r="DU6" s="25">
        <v>3.855</v>
      </c>
      <c r="DV6" s="25">
        <v>2.1850000000000001</v>
      </c>
      <c r="DW6" s="25">
        <v>10.531000000000001</v>
      </c>
      <c r="DX6" s="25">
        <v>15.331</v>
      </c>
      <c r="DY6" s="25">
        <v>2.1850000000000001</v>
      </c>
      <c r="DZ6" s="25">
        <v>15.596</v>
      </c>
      <c r="EA6" s="25">
        <v>2.1850000000000001</v>
      </c>
      <c r="EB6" s="25">
        <v>5.7320000000000002</v>
      </c>
      <c r="EC6" s="25">
        <v>2.1850000000000001</v>
      </c>
      <c r="ED6" s="25">
        <v>2.1850000000000001</v>
      </c>
      <c r="EE6" s="25">
        <v>2.1850000000000001</v>
      </c>
      <c r="EF6" s="25">
        <v>2.1850000000000001</v>
      </c>
      <c r="EG6" s="25">
        <v>4.9889999999999999</v>
      </c>
      <c r="EH6" s="25">
        <v>9.3800000000000008</v>
      </c>
      <c r="EI6" s="25">
        <v>2.1850000000000001</v>
      </c>
      <c r="EJ6" s="25">
        <v>2.72</v>
      </c>
      <c r="EK6" s="25">
        <v>2.1850000000000001</v>
      </c>
      <c r="EL6" s="25">
        <v>2.1850000000000001</v>
      </c>
      <c r="EM6" s="25">
        <v>5.7569999999999997</v>
      </c>
      <c r="EN6" s="25">
        <v>2.1850000000000001</v>
      </c>
      <c r="EO6" s="25">
        <v>5.2089999999999996</v>
      </c>
      <c r="EP6" s="25">
        <v>2.1850000000000001</v>
      </c>
      <c r="EQ6" s="25">
        <v>2.1850000000000001</v>
      </c>
      <c r="ER6" s="25">
        <v>43.411000000000001</v>
      </c>
      <c r="ES6" s="25">
        <v>12.55</v>
      </c>
      <c r="ET6" s="25">
        <v>2.1850000000000001</v>
      </c>
      <c r="EU6" s="25">
        <v>2.1850000000000001</v>
      </c>
      <c r="EV6" s="25">
        <v>2.1850000000000001</v>
      </c>
      <c r="EW6" s="25"/>
    </row>
    <row r="7" spans="1:153" ht="17.25" customHeight="1" x14ac:dyDescent="0.25">
      <c r="A7" s="25" t="s">
        <v>98</v>
      </c>
      <c r="B7" s="25">
        <v>5.1449999999999996</v>
      </c>
      <c r="C7" s="25">
        <v>3.8940000000000001</v>
      </c>
      <c r="D7" s="25">
        <v>3.282</v>
      </c>
      <c r="E7" s="25">
        <v>1.895</v>
      </c>
      <c r="F7" s="25">
        <v>2.0049999999999999</v>
      </c>
      <c r="G7" s="25">
        <v>0</v>
      </c>
      <c r="H7" s="25">
        <v>0.754</v>
      </c>
      <c r="I7" s="25">
        <v>2.0259999999999998</v>
      </c>
      <c r="J7" s="25">
        <v>2.294</v>
      </c>
      <c r="K7" s="25">
        <v>3.2719999999999998</v>
      </c>
      <c r="L7" s="25">
        <v>4.2279999999999998</v>
      </c>
      <c r="M7" s="25">
        <v>3.6040000000000001</v>
      </c>
      <c r="N7" s="25">
        <v>2.21</v>
      </c>
      <c r="O7" s="25">
        <v>0.46</v>
      </c>
      <c r="P7" s="25">
        <v>0.91800000000000004</v>
      </c>
      <c r="Q7" s="25">
        <v>1.7190000000000001</v>
      </c>
      <c r="R7" s="25">
        <v>2.7759999999999998</v>
      </c>
      <c r="S7" s="25">
        <v>3.855</v>
      </c>
      <c r="T7" s="25">
        <v>4.1180000000000003</v>
      </c>
      <c r="U7" s="25">
        <v>6.4429999999999996</v>
      </c>
      <c r="V7" s="25">
        <v>5.6059999999999999</v>
      </c>
      <c r="W7" s="25">
        <v>4.8789999999999996</v>
      </c>
      <c r="X7" s="25">
        <v>10.282</v>
      </c>
      <c r="Y7" s="25">
        <v>10.183999999999999</v>
      </c>
      <c r="Z7" s="25">
        <v>11.66</v>
      </c>
      <c r="AA7" s="25">
        <v>16.231000000000002</v>
      </c>
      <c r="AB7" s="25">
        <v>17.966000000000001</v>
      </c>
      <c r="AC7" s="25">
        <v>24.849</v>
      </c>
      <c r="AD7" s="25">
        <v>10.036</v>
      </c>
      <c r="AE7" s="25">
        <v>6.9020000000000001</v>
      </c>
      <c r="AF7" s="25">
        <v>6.5990000000000002</v>
      </c>
      <c r="AG7" s="25">
        <v>5.6920000000000002</v>
      </c>
      <c r="AH7" s="25">
        <v>3.8940000000000001</v>
      </c>
      <c r="AI7" s="25">
        <v>0.46</v>
      </c>
      <c r="AJ7" s="25">
        <v>0.754</v>
      </c>
      <c r="AK7" s="25">
        <v>2.0259999999999998</v>
      </c>
      <c r="AL7" s="25">
        <v>1.7190000000000001</v>
      </c>
      <c r="AM7" s="25">
        <v>5.43</v>
      </c>
      <c r="AN7" s="25">
        <v>11.423</v>
      </c>
      <c r="AO7" s="25">
        <v>0.46</v>
      </c>
      <c r="AP7" s="25">
        <v>6.53</v>
      </c>
      <c r="AQ7" s="25">
        <v>4.3760000000000003</v>
      </c>
      <c r="AR7" s="25">
        <v>0.46</v>
      </c>
      <c r="AS7" s="25">
        <v>0.46</v>
      </c>
      <c r="AT7" s="25">
        <v>0.46</v>
      </c>
      <c r="AU7" s="25">
        <v>4.1239999999999997</v>
      </c>
      <c r="AV7" s="25">
        <v>0.46</v>
      </c>
      <c r="AW7" s="25">
        <v>3.544</v>
      </c>
      <c r="AX7" s="25">
        <v>6.3840000000000003</v>
      </c>
      <c r="AY7" s="25">
        <v>0.46</v>
      </c>
      <c r="AZ7" s="25">
        <v>2.359</v>
      </c>
      <c r="BA7" s="25">
        <v>0.46</v>
      </c>
      <c r="BB7" s="25">
        <v>0.98799999999999999</v>
      </c>
      <c r="BC7" s="25">
        <v>0.46</v>
      </c>
      <c r="BD7" s="25">
        <v>1.7829999999999999</v>
      </c>
      <c r="BE7" s="25">
        <v>0.46</v>
      </c>
      <c r="BF7" s="25">
        <v>37.981000000000002</v>
      </c>
      <c r="BG7" s="25">
        <v>0.46</v>
      </c>
      <c r="BH7" s="25">
        <v>0.46</v>
      </c>
      <c r="BI7" s="25">
        <v>26.16</v>
      </c>
      <c r="BJ7" s="25">
        <v>0.46</v>
      </c>
      <c r="BK7" s="25">
        <v>0.46</v>
      </c>
      <c r="BL7" s="25">
        <v>0.46</v>
      </c>
      <c r="BM7" s="25">
        <v>0.46</v>
      </c>
      <c r="BN7" s="25">
        <v>0.46</v>
      </c>
      <c r="BO7" s="25">
        <v>0.46</v>
      </c>
      <c r="BP7" s="25">
        <v>6.4240000000000004</v>
      </c>
      <c r="BQ7" s="25">
        <v>2.2559999999999998</v>
      </c>
      <c r="BR7" s="25">
        <v>0.46</v>
      </c>
      <c r="BS7" s="25">
        <v>0.46</v>
      </c>
      <c r="BT7" s="25">
        <v>0.46</v>
      </c>
      <c r="BU7" s="25">
        <v>8.2219999999999995</v>
      </c>
      <c r="BV7" s="25">
        <v>0.46</v>
      </c>
      <c r="BW7" s="25">
        <v>0.46</v>
      </c>
      <c r="BX7" s="25">
        <v>4.8970000000000002</v>
      </c>
      <c r="BY7" s="25">
        <v>1.2010000000000001</v>
      </c>
      <c r="BZ7" s="25">
        <v>2.02</v>
      </c>
      <c r="CA7" s="25">
        <v>0.46</v>
      </c>
      <c r="CB7" s="25">
        <v>0.46</v>
      </c>
      <c r="CC7" s="25">
        <v>8.34</v>
      </c>
      <c r="CD7" s="25">
        <v>10.183999999999999</v>
      </c>
      <c r="CE7" s="25">
        <v>0.46</v>
      </c>
      <c r="CF7" s="25">
        <v>18.187999999999999</v>
      </c>
      <c r="CG7" s="25">
        <v>26.248000000000001</v>
      </c>
      <c r="CH7" s="25">
        <v>0.46</v>
      </c>
      <c r="CI7" s="25">
        <v>0.46</v>
      </c>
      <c r="CJ7" s="25">
        <v>0.46</v>
      </c>
      <c r="CK7" s="25">
        <v>0.46</v>
      </c>
      <c r="CL7" s="25">
        <v>0.46</v>
      </c>
      <c r="CM7" s="25">
        <v>0.46</v>
      </c>
      <c r="CN7" s="25">
        <v>0.46</v>
      </c>
      <c r="CO7" s="25">
        <v>0.46</v>
      </c>
      <c r="CP7" s="25">
        <v>0.46</v>
      </c>
      <c r="CQ7" s="25">
        <v>0.46</v>
      </c>
      <c r="CR7" s="25">
        <v>0.46</v>
      </c>
      <c r="CS7" s="25">
        <v>44.86</v>
      </c>
      <c r="CT7" s="25">
        <v>0.46</v>
      </c>
      <c r="CU7" s="25">
        <v>0.46</v>
      </c>
      <c r="CV7" s="25">
        <v>3.504</v>
      </c>
      <c r="CW7" s="25">
        <v>0.46</v>
      </c>
      <c r="CX7" s="25">
        <v>0.46</v>
      </c>
      <c r="CY7" s="25">
        <v>0.46</v>
      </c>
      <c r="CZ7" s="25">
        <v>7.5030000000000001</v>
      </c>
      <c r="DA7" s="25">
        <v>1.6459999999999999</v>
      </c>
      <c r="DB7" s="25">
        <v>13.788</v>
      </c>
      <c r="DC7" s="25">
        <v>13.121</v>
      </c>
      <c r="DD7" s="25">
        <v>3.302</v>
      </c>
      <c r="DE7" s="25">
        <v>17.111000000000001</v>
      </c>
      <c r="DF7" s="25">
        <v>0.46</v>
      </c>
      <c r="DG7" s="25">
        <v>7.0430000000000001</v>
      </c>
      <c r="DH7" s="25">
        <v>35.902000000000001</v>
      </c>
      <c r="DI7" s="25">
        <v>0.46</v>
      </c>
      <c r="DJ7" s="25">
        <v>0.46</v>
      </c>
      <c r="DK7" s="25">
        <v>2.3690000000000002</v>
      </c>
      <c r="DL7" s="25">
        <v>0.46</v>
      </c>
      <c r="DM7" s="25">
        <v>17.111000000000001</v>
      </c>
      <c r="DN7" s="25">
        <v>0.46</v>
      </c>
      <c r="DO7" s="25">
        <v>0.46</v>
      </c>
      <c r="DP7" s="25">
        <v>0.46</v>
      </c>
      <c r="DQ7" s="25">
        <v>0.46</v>
      </c>
      <c r="DR7" s="25">
        <v>0.46</v>
      </c>
      <c r="DS7" s="25">
        <v>0.46</v>
      </c>
      <c r="DT7" s="25">
        <v>0.46</v>
      </c>
      <c r="DU7" s="25">
        <v>5.1369999999999996</v>
      </c>
      <c r="DV7" s="25">
        <v>0.46</v>
      </c>
      <c r="DW7" s="25">
        <v>8.8059999999999992</v>
      </c>
      <c r="DX7" s="25">
        <v>14.397</v>
      </c>
      <c r="DY7" s="25">
        <v>0.46</v>
      </c>
      <c r="DZ7" s="25">
        <v>14.662000000000001</v>
      </c>
      <c r="EA7" s="25">
        <v>0.46</v>
      </c>
      <c r="EB7" s="25">
        <v>7.0140000000000002</v>
      </c>
      <c r="EC7" s="25">
        <v>0.46</v>
      </c>
      <c r="ED7" s="25">
        <v>0.46</v>
      </c>
      <c r="EE7" s="25">
        <v>0.46</v>
      </c>
      <c r="EF7" s="25">
        <v>0.46</v>
      </c>
      <c r="EG7" s="25">
        <v>6.2709999999999999</v>
      </c>
      <c r="EH7" s="25">
        <v>7.6550000000000002</v>
      </c>
      <c r="EI7" s="25">
        <v>0.46</v>
      </c>
      <c r="EJ7" s="25">
        <v>1.7190000000000001</v>
      </c>
      <c r="EK7" s="25">
        <v>0.46</v>
      </c>
      <c r="EL7" s="25">
        <v>0.46</v>
      </c>
      <c r="EM7" s="25">
        <v>4.8230000000000004</v>
      </c>
      <c r="EN7" s="25">
        <v>0.46</v>
      </c>
      <c r="EO7" s="25">
        <v>4.9420000000000002</v>
      </c>
      <c r="EP7" s="25">
        <v>0.46</v>
      </c>
      <c r="EQ7" s="25">
        <v>0.46</v>
      </c>
      <c r="ER7" s="25">
        <v>44.015999999999998</v>
      </c>
      <c r="ES7" s="25">
        <v>10.824999999999999</v>
      </c>
      <c r="ET7" s="25">
        <v>0.46</v>
      </c>
      <c r="EU7" s="25">
        <v>0.46</v>
      </c>
      <c r="EV7" s="25">
        <v>0.46</v>
      </c>
      <c r="EW7" s="25"/>
    </row>
    <row r="8" spans="1:153" ht="17.25" customHeight="1" x14ac:dyDescent="0.25">
      <c r="A8" s="30" t="s">
        <v>127</v>
      </c>
      <c r="B8" s="25">
        <v>5.899</v>
      </c>
      <c r="C8" s="25">
        <v>4.6479999999999997</v>
      </c>
      <c r="D8" s="25">
        <v>4.0359999999999996</v>
      </c>
      <c r="E8" s="26">
        <v>2.649</v>
      </c>
      <c r="F8" s="25">
        <v>2.7589999999999999</v>
      </c>
      <c r="G8" s="25">
        <v>0.754</v>
      </c>
      <c r="H8" s="25">
        <v>0</v>
      </c>
      <c r="I8" s="25">
        <v>1.272</v>
      </c>
      <c r="J8" s="25">
        <v>1.54</v>
      </c>
      <c r="K8" s="25">
        <v>2.5179999999999998</v>
      </c>
      <c r="L8" s="25">
        <v>3.4740000000000002</v>
      </c>
      <c r="M8" s="25">
        <v>3.4239999999999999</v>
      </c>
      <c r="N8" s="25">
        <v>2.056</v>
      </c>
      <c r="O8" s="25">
        <v>0.29399999999999998</v>
      </c>
      <c r="P8" s="25">
        <v>1.6060000000000001</v>
      </c>
      <c r="Q8" s="25">
        <v>2.4</v>
      </c>
      <c r="R8" s="25">
        <v>3.258</v>
      </c>
      <c r="S8" s="25">
        <v>4.484</v>
      </c>
      <c r="T8" s="25">
        <v>4.7469999999999999</v>
      </c>
      <c r="U8" s="25">
        <v>7.0720000000000001</v>
      </c>
      <c r="V8" s="25">
        <v>6.2350000000000003</v>
      </c>
      <c r="W8" s="25">
        <v>5.508</v>
      </c>
      <c r="X8" s="25">
        <v>9.5280000000000005</v>
      </c>
      <c r="Y8" s="25">
        <v>10.69</v>
      </c>
      <c r="Z8" s="25">
        <v>12.166</v>
      </c>
      <c r="AA8" s="25">
        <v>16.86</v>
      </c>
      <c r="AB8" s="25">
        <v>18.594999999999999</v>
      </c>
      <c r="AC8" s="25">
        <v>25.478000000000002</v>
      </c>
      <c r="AD8" s="25">
        <v>9.282</v>
      </c>
      <c r="AE8" s="25">
        <v>7.6559999999999997</v>
      </c>
      <c r="AF8" s="25">
        <v>5.8449999999999998</v>
      </c>
      <c r="AG8" s="25">
        <v>4.9379999999999997</v>
      </c>
      <c r="AH8" s="25">
        <v>4.6479999999999997</v>
      </c>
      <c r="AI8" s="25">
        <v>0.29399999999999998</v>
      </c>
      <c r="AJ8" s="25">
        <v>0</v>
      </c>
      <c r="AK8" s="25">
        <v>1.272</v>
      </c>
      <c r="AL8" s="25">
        <v>2.4</v>
      </c>
      <c r="AM8" s="25">
        <v>4.6760000000000002</v>
      </c>
      <c r="AN8" s="25">
        <v>12.052</v>
      </c>
      <c r="AO8" s="25">
        <v>0.29399999999999998</v>
      </c>
      <c r="AP8" s="25">
        <v>8.202</v>
      </c>
      <c r="AQ8" s="25">
        <v>5.13</v>
      </c>
      <c r="AR8" s="25">
        <v>0.29399999999999998</v>
      </c>
      <c r="AS8" s="25">
        <v>0.29399999999999998</v>
      </c>
      <c r="AT8" s="25">
        <v>0.29399999999999998</v>
      </c>
      <c r="AU8" s="25">
        <v>4.6289999999999996</v>
      </c>
      <c r="AV8" s="25">
        <v>0.29399999999999998</v>
      </c>
      <c r="AW8" s="25">
        <v>4.1859999999999999</v>
      </c>
      <c r="AX8" s="25">
        <v>6.2380000000000004</v>
      </c>
      <c r="AY8" s="25">
        <v>0.29399999999999998</v>
      </c>
      <c r="AZ8" s="25">
        <v>1.605</v>
      </c>
      <c r="BA8" s="25">
        <v>0.29399999999999998</v>
      </c>
      <c r="BB8" s="25">
        <v>1.728</v>
      </c>
      <c r="BC8" s="25">
        <v>0.29399999999999998</v>
      </c>
      <c r="BD8" s="25">
        <v>1.0289999999999999</v>
      </c>
      <c r="BE8" s="25">
        <v>0.29399999999999998</v>
      </c>
      <c r="BF8" s="25">
        <v>38.61</v>
      </c>
      <c r="BG8" s="25">
        <v>0.29399999999999998</v>
      </c>
      <c r="BH8" s="25">
        <v>0.29399999999999998</v>
      </c>
      <c r="BI8" s="25">
        <v>26.789000000000001</v>
      </c>
      <c r="BJ8" s="25">
        <v>0.29399999999999998</v>
      </c>
      <c r="BK8" s="25">
        <v>0.29399999999999998</v>
      </c>
      <c r="BL8" s="25">
        <v>0.29399999999999998</v>
      </c>
      <c r="BM8" s="25">
        <v>0.29399999999999998</v>
      </c>
      <c r="BN8" s="25">
        <v>0.29399999999999998</v>
      </c>
      <c r="BO8" s="25">
        <v>0.29399999999999998</v>
      </c>
      <c r="BP8" s="25">
        <v>7.0529999999999999</v>
      </c>
      <c r="BQ8" s="25">
        <v>3.01</v>
      </c>
      <c r="BR8" s="25">
        <v>0.29399999999999998</v>
      </c>
      <c r="BS8" s="25">
        <v>0.29399999999999998</v>
      </c>
      <c r="BT8" s="25">
        <v>0.29399999999999998</v>
      </c>
      <c r="BU8" s="25">
        <v>8.8510000000000009</v>
      </c>
      <c r="BV8" s="25">
        <v>0.29399999999999998</v>
      </c>
      <c r="BW8" s="25">
        <v>0.29399999999999998</v>
      </c>
      <c r="BX8" s="25">
        <v>4.1429999999999998</v>
      </c>
      <c r="BY8" s="25">
        <v>1.9550000000000001</v>
      </c>
      <c r="BZ8" s="25">
        <v>2.774</v>
      </c>
      <c r="CA8" s="25">
        <v>0.29399999999999998</v>
      </c>
      <c r="CB8" s="25">
        <v>0.29399999999999998</v>
      </c>
      <c r="CC8" s="25">
        <v>8.8460000000000001</v>
      </c>
      <c r="CD8" s="25">
        <v>10.69</v>
      </c>
      <c r="CE8" s="25">
        <v>0.29399999999999998</v>
      </c>
      <c r="CF8" s="25">
        <v>18.817</v>
      </c>
      <c r="CG8" s="25">
        <v>26.876999999999999</v>
      </c>
      <c r="CH8" s="25">
        <v>0.29399999999999998</v>
      </c>
      <c r="CI8" s="25">
        <v>0.29399999999999998</v>
      </c>
      <c r="CJ8" s="25">
        <v>0.29399999999999998</v>
      </c>
      <c r="CK8" s="25">
        <v>0.29399999999999998</v>
      </c>
      <c r="CL8" s="25">
        <v>0.29399999999999998</v>
      </c>
      <c r="CM8" s="25">
        <v>0.29399999999999998</v>
      </c>
      <c r="CN8" s="25">
        <v>0.29399999999999998</v>
      </c>
      <c r="CO8" s="25">
        <v>0.29399999999999998</v>
      </c>
      <c r="CP8" s="25">
        <v>0.29399999999999998</v>
      </c>
      <c r="CQ8" s="25">
        <v>0.29399999999999998</v>
      </c>
      <c r="CR8" s="25">
        <v>0.29399999999999998</v>
      </c>
      <c r="CS8" s="25">
        <v>45.488999999999997</v>
      </c>
      <c r="CT8" s="25">
        <v>0.29399999999999998</v>
      </c>
      <c r="CU8" s="25">
        <v>0.29399999999999998</v>
      </c>
      <c r="CV8" s="25">
        <v>3.323</v>
      </c>
      <c r="CW8" s="25">
        <v>0.29399999999999998</v>
      </c>
      <c r="CX8" s="25">
        <v>0.29399999999999998</v>
      </c>
      <c r="CY8" s="25">
        <v>0.29399999999999998</v>
      </c>
      <c r="CZ8" s="25">
        <v>8.1319999999999997</v>
      </c>
      <c r="DA8" s="25">
        <v>2.3759999999999999</v>
      </c>
      <c r="DB8" s="25">
        <v>14.294</v>
      </c>
      <c r="DC8" s="25">
        <v>13.627000000000001</v>
      </c>
      <c r="DD8" s="25">
        <v>4.056</v>
      </c>
      <c r="DE8" s="25">
        <v>16.356999999999999</v>
      </c>
      <c r="DF8" s="25">
        <v>0.29399999999999998</v>
      </c>
      <c r="DG8" s="25">
        <v>7.6849999999999996</v>
      </c>
      <c r="DH8" s="25">
        <v>36.530999999999999</v>
      </c>
      <c r="DI8" s="25">
        <v>0.29399999999999998</v>
      </c>
      <c r="DJ8" s="25">
        <v>0.29399999999999998</v>
      </c>
      <c r="DK8" s="25">
        <v>2.7160000000000002</v>
      </c>
      <c r="DL8" s="25">
        <v>0.29399999999999998</v>
      </c>
      <c r="DM8" s="25">
        <v>16.356999999999999</v>
      </c>
      <c r="DN8" s="25">
        <v>0.29399999999999998</v>
      </c>
      <c r="DO8" s="25">
        <v>0.29399999999999998</v>
      </c>
      <c r="DP8" s="25">
        <v>0.29399999999999998</v>
      </c>
      <c r="DQ8" s="25">
        <v>0.29399999999999998</v>
      </c>
      <c r="DR8" s="25">
        <v>0.29399999999999998</v>
      </c>
      <c r="DS8" s="25">
        <v>0.29399999999999998</v>
      </c>
      <c r="DT8" s="25">
        <v>0.29399999999999998</v>
      </c>
      <c r="DU8" s="25">
        <v>5.7789999999999999</v>
      </c>
      <c r="DV8" s="25">
        <v>0.29399999999999998</v>
      </c>
      <c r="DW8" s="25">
        <v>8.0519999999999996</v>
      </c>
      <c r="DX8" s="25">
        <v>15.026</v>
      </c>
      <c r="DY8" s="25">
        <v>0.29399999999999998</v>
      </c>
      <c r="DZ8" s="25">
        <v>15.291</v>
      </c>
      <c r="EA8" s="25">
        <v>0.29399999999999998</v>
      </c>
      <c r="EB8" s="25">
        <v>7.6559999999999997</v>
      </c>
      <c r="EC8" s="25">
        <v>0.29399999999999998</v>
      </c>
      <c r="ED8" s="25">
        <v>0.29399999999999998</v>
      </c>
      <c r="EE8" s="25">
        <v>0.29399999999999998</v>
      </c>
      <c r="EF8" s="25">
        <v>0.29399999999999998</v>
      </c>
      <c r="EG8" s="25">
        <v>6.9130000000000003</v>
      </c>
      <c r="EH8" s="25">
        <v>6.9009999999999998</v>
      </c>
      <c r="EI8" s="25">
        <v>0.29399999999999998</v>
      </c>
      <c r="EJ8" s="25">
        <v>2.4</v>
      </c>
      <c r="EK8" s="25">
        <v>0.29399999999999998</v>
      </c>
      <c r="EL8" s="25">
        <v>0.29399999999999998</v>
      </c>
      <c r="EM8" s="25">
        <v>5.452</v>
      </c>
      <c r="EN8" s="25">
        <v>0.29399999999999998</v>
      </c>
      <c r="EO8" s="25">
        <v>5.5709999999999997</v>
      </c>
      <c r="EP8" s="25">
        <v>0.29399999999999998</v>
      </c>
      <c r="EQ8" s="25">
        <v>0.29399999999999998</v>
      </c>
      <c r="ER8" s="25">
        <v>44.645000000000003</v>
      </c>
      <c r="ES8" s="25">
        <v>10.071</v>
      </c>
      <c r="ET8" s="25">
        <v>0.29399999999999998</v>
      </c>
      <c r="EU8" s="25">
        <v>0.29399999999999998</v>
      </c>
      <c r="EV8" s="25">
        <v>0.29399999999999998</v>
      </c>
      <c r="EW8" s="25"/>
    </row>
    <row r="9" spans="1:153" ht="17.25" customHeight="1" x14ac:dyDescent="0.25">
      <c r="A9" s="25" t="s">
        <v>128</v>
      </c>
      <c r="B9" s="25">
        <v>7.1719999999999997</v>
      </c>
      <c r="C9" s="25">
        <v>5.9210000000000003</v>
      </c>
      <c r="D9" s="25">
        <v>5.3090000000000002</v>
      </c>
      <c r="E9" s="25">
        <v>3.9220000000000002</v>
      </c>
      <c r="F9" s="25">
        <v>4.032</v>
      </c>
      <c r="G9" s="25">
        <v>2.0259999999999998</v>
      </c>
      <c r="H9" s="25">
        <v>1.2729999999999999</v>
      </c>
      <c r="I9" s="25">
        <v>0</v>
      </c>
      <c r="J9" s="25">
        <v>0.51100000000000001</v>
      </c>
      <c r="K9" s="25">
        <v>1.286</v>
      </c>
      <c r="L9" s="25">
        <v>2.242</v>
      </c>
      <c r="M9" s="25">
        <v>4.38</v>
      </c>
      <c r="N9" s="25">
        <v>3.012</v>
      </c>
      <c r="O9" s="25">
        <v>1.5669999999999999</v>
      </c>
      <c r="P9" s="25">
        <v>2.7810000000000001</v>
      </c>
      <c r="Q9" s="25">
        <v>3.2229999999999999</v>
      </c>
      <c r="R9" s="25">
        <v>3.4870000000000001</v>
      </c>
      <c r="S9" s="25">
        <v>4.0339999999999998</v>
      </c>
      <c r="T9" s="25">
        <v>4.2969999999999997</v>
      </c>
      <c r="U9" s="25">
        <v>6.2839999999999998</v>
      </c>
      <c r="V9" s="25">
        <v>5.4470000000000001</v>
      </c>
      <c r="W9" s="25">
        <v>4.72</v>
      </c>
      <c r="X9" s="25">
        <v>8.2959999999999994</v>
      </c>
      <c r="Y9" s="25">
        <v>11.696999999999999</v>
      </c>
      <c r="Z9" s="25">
        <v>13.173</v>
      </c>
      <c r="AA9" s="25">
        <v>16.41</v>
      </c>
      <c r="AB9" s="25">
        <v>18.145</v>
      </c>
      <c r="AC9" s="25">
        <v>25.027999999999999</v>
      </c>
      <c r="AD9" s="25">
        <v>8.0500000000000007</v>
      </c>
      <c r="AE9" s="25">
        <v>8.9290000000000003</v>
      </c>
      <c r="AF9" s="25">
        <v>4.6130000000000004</v>
      </c>
      <c r="AG9" s="25">
        <v>3.706</v>
      </c>
      <c r="AH9" s="25">
        <v>5.9210000000000003</v>
      </c>
      <c r="AI9" s="25">
        <v>1.5669999999999999</v>
      </c>
      <c r="AJ9" s="25">
        <v>1.2729999999999999</v>
      </c>
      <c r="AK9" s="25">
        <v>0</v>
      </c>
      <c r="AL9" s="25">
        <v>3.2229999999999999</v>
      </c>
      <c r="AM9" s="25">
        <v>3.444</v>
      </c>
      <c r="AN9" s="25">
        <v>11.493</v>
      </c>
      <c r="AO9" s="25">
        <v>1.5669999999999999</v>
      </c>
      <c r="AP9" s="25">
        <v>9.2089999999999996</v>
      </c>
      <c r="AQ9" s="25">
        <v>6.4029999999999996</v>
      </c>
      <c r="AR9" s="25">
        <v>1.5669999999999999</v>
      </c>
      <c r="AS9" s="25">
        <v>1.5669999999999999</v>
      </c>
      <c r="AT9" s="25">
        <v>1.5669999999999999</v>
      </c>
      <c r="AU9" s="25">
        <v>5.6360000000000001</v>
      </c>
      <c r="AV9" s="25">
        <v>1.5669999999999999</v>
      </c>
      <c r="AW9" s="25">
        <v>5.2629999999999999</v>
      </c>
      <c r="AX9" s="25">
        <v>7.194</v>
      </c>
      <c r="AY9" s="25">
        <v>1.5669999999999999</v>
      </c>
      <c r="AZ9" s="25">
        <v>2.5609999999999999</v>
      </c>
      <c r="BA9" s="25">
        <v>1.5669999999999999</v>
      </c>
      <c r="BB9" s="25">
        <v>3</v>
      </c>
      <c r="BC9" s="25">
        <v>1.5669999999999999</v>
      </c>
      <c r="BD9" s="25">
        <v>1.9850000000000001</v>
      </c>
      <c r="BE9" s="25">
        <v>1.5669999999999999</v>
      </c>
      <c r="BF9" s="25">
        <v>38.159999999999997</v>
      </c>
      <c r="BG9" s="25">
        <v>1.5669999999999999</v>
      </c>
      <c r="BH9" s="25">
        <v>1.5669999999999999</v>
      </c>
      <c r="BI9" s="25">
        <v>26.338999999999999</v>
      </c>
      <c r="BJ9" s="25">
        <v>1.5669999999999999</v>
      </c>
      <c r="BK9" s="25">
        <v>1.5669999999999999</v>
      </c>
      <c r="BL9" s="25">
        <v>1.5669999999999999</v>
      </c>
      <c r="BM9" s="25">
        <v>1.5669999999999999</v>
      </c>
      <c r="BN9" s="25">
        <v>1.5669999999999999</v>
      </c>
      <c r="BO9" s="25">
        <v>1.5669999999999999</v>
      </c>
      <c r="BP9" s="25">
        <v>6.2649999999999997</v>
      </c>
      <c r="BQ9" s="25">
        <v>4.2830000000000004</v>
      </c>
      <c r="BR9" s="25">
        <v>1.5669999999999999</v>
      </c>
      <c r="BS9" s="25">
        <v>1.5669999999999999</v>
      </c>
      <c r="BT9" s="25">
        <v>1.5669999999999999</v>
      </c>
      <c r="BU9" s="25">
        <v>8.4700000000000006</v>
      </c>
      <c r="BV9" s="25">
        <v>1.5669999999999999</v>
      </c>
      <c r="BW9" s="25">
        <v>1.5669999999999999</v>
      </c>
      <c r="BX9" s="25">
        <v>2.871</v>
      </c>
      <c r="BY9" s="25">
        <v>3.2280000000000002</v>
      </c>
      <c r="BZ9" s="25">
        <v>4.0469999999999997</v>
      </c>
      <c r="CA9" s="25">
        <v>1.5669999999999999</v>
      </c>
      <c r="CB9" s="25">
        <v>1.5669999999999999</v>
      </c>
      <c r="CC9" s="25">
        <v>9.8529999999999998</v>
      </c>
      <c r="CD9" s="25">
        <v>11.696999999999999</v>
      </c>
      <c r="CE9" s="25">
        <v>1.5669999999999999</v>
      </c>
      <c r="CF9" s="25">
        <v>18.367000000000001</v>
      </c>
      <c r="CG9" s="25">
        <v>26.427</v>
      </c>
      <c r="CH9" s="25">
        <v>1.5669999999999999</v>
      </c>
      <c r="CI9" s="25">
        <v>1.5669999999999999</v>
      </c>
      <c r="CJ9" s="25">
        <v>1.5669999999999999</v>
      </c>
      <c r="CK9" s="25">
        <v>1.5669999999999999</v>
      </c>
      <c r="CL9" s="25">
        <v>1.5669999999999999</v>
      </c>
      <c r="CM9" s="25">
        <v>1.5669999999999999</v>
      </c>
      <c r="CN9" s="25">
        <v>1.5669999999999999</v>
      </c>
      <c r="CO9" s="25">
        <v>1.5669999999999999</v>
      </c>
      <c r="CP9" s="25">
        <v>1.5669999999999999</v>
      </c>
      <c r="CQ9" s="25">
        <v>1.5669999999999999</v>
      </c>
      <c r="CR9" s="25">
        <v>1.5669999999999999</v>
      </c>
      <c r="CS9" s="25">
        <v>45.039000000000001</v>
      </c>
      <c r="CT9" s="25">
        <v>1.5669999999999999</v>
      </c>
      <c r="CU9" s="25">
        <v>1.5669999999999999</v>
      </c>
      <c r="CV9" s="25">
        <v>1.8129999999999999</v>
      </c>
      <c r="CW9" s="25">
        <v>1.5669999999999999</v>
      </c>
      <c r="CX9" s="25">
        <v>1.5669999999999999</v>
      </c>
      <c r="CY9" s="25">
        <v>1.5669999999999999</v>
      </c>
      <c r="CZ9" s="25">
        <v>7.7510000000000003</v>
      </c>
      <c r="DA9" s="25">
        <v>3.4529999999999998</v>
      </c>
      <c r="DB9" s="25">
        <v>15.301</v>
      </c>
      <c r="DC9" s="25">
        <v>14.634</v>
      </c>
      <c r="DD9" s="25">
        <v>5.3289999999999997</v>
      </c>
      <c r="DE9" s="25">
        <v>15.125</v>
      </c>
      <c r="DF9" s="25">
        <v>1.5669999999999999</v>
      </c>
      <c r="DG9" s="25">
        <v>10.544</v>
      </c>
      <c r="DH9" s="25">
        <v>36.081000000000003</v>
      </c>
      <c r="DI9" s="25">
        <v>1.5669999999999999</v>
      </c>
      <c r="DJ9" s="25">
        <v>1.5669999999999999</v>
      </c>
      <c r="DK9" s="25">
        <v>2.63</v>
      </c>
      <c r="DL9" s="25">
        <v>1.5669999999999999</v>
      </c>
      <c r="DM9" s="25">
        <v>15.125</v>
      </c>
      <c r="DN9" s="25">
        <v>1.5669999999999999</v>
      </c>
      <c r="DO9" s="25">
        <v>1.5669999999999999</v>
      </c>
      <c r="DP9" s="25">
        <v>1.5669999999999999</v>
      </c>
      <c r="DQ9" s="25">
        <v>1.5669999999999999</v>
      </c>
      <c r="DR9" s="25">
        <v>1.5669999999999999</v>
      </c>
      <c r="DS9" s="25">
        <v>1.5669999999999999</v>
      </c>
      <c r="DT9" s="25">
        <v>1.5669999999999999</v>
      </c>
      <c r="DU9" s="25">
        <v>6.8559999999999999</v>
      </c>
      <c r="DV9" s="25">
        <v>1.5669999999999999</v>
      </c>
      <c r="DW9" s="25">
        <v>6.82</v>
      </c>
      <c r="DX9" s="25">
        <v>12.441000000000001</v>
      </c>
      <c r="DY9" s="25">
        <v>1.5669999999999999</v>
      </c>
      <c r="DZ9" s="25">
        <v>12.706</v>
      </c>
      <c r="EA9" s="25">
        <v>1.5669999999999999</v>
      </c>
      <c r="EB9" s="25">
        <v>10.515000000000001</v>
      </c>
      <c r="EC9" s="25">
        <v>1.5669999999999999</v>
      </c>
      <c r="ED9" s="25">
        <v>1.5669999999999999</v>
      </c>
      <c r="EE9" s="25">
        <v>1.5669999999999999</v>
      </c>
      <c r="EF9" s="25">
        <v>1.5669999999999999</v>
      </c>
      <c r="EG9" s="25">
        <v>7.99</v>
      </c>
      <c r="EH9" s="25">
        <v>5.6689999999999996</v>
      </c>
      <c r="EI9" s="25">
        <v>1.5669999999999999</v>
      </c>
      <c r="EJ9" s="25">
        <v>3.2229999999999999</v>
      </c>
      <c r="EK9" s="25">
        <v>1.5669999999999999</v>
      </c>
      <c r="EL9" s="25">
        <v>1.5669999999999999</v>
      </c>
      <c r="EM9" s="25">
        <v>4.0860000000000003</v>
      </c>
      <c r="EN9" s="25">
        <v>1.5669999999999999</v>
      </c>
      <c r="EO9" s="25">
        <v>4.9320000000000004</v>
      </c>
      <c r="EP9" s="25">
        <v>1.5669999999999999</v>
      </c>
      <c r="EQ9" s="25">
        <v>1.5669999999999999</v>
      </c>
      <c r="ER9" s="25">
        <v>44.195</v>
      </c>
      <c r="ES9" s="25">
        <v>8.8390000000000004</v>
      </c>
      <c r="ET9" s="25">
        <v>1.5669999999999999</v>
      </c>
      <c r="EU9" s="25">
        <v>1.5669999999999999</v>
      </c>
      <c r="EV9" s="25">
        <v>1.5669999999999999</v>
      </c>
      <c r="EW9" s="25"/>
    </row>
    <row r="10" spans="1:153" ht="17.25" customHeight="1" x14ac:dyDescent="0.25">
      <c r="A10" s="25" t="s">
        <v>129</v>
      </c>
      <c r="B10" s="25">
        <v>7.3280000000000003</v>
      </c>
      <c r="C10" s="25">
        <v>6.077</v>
      </c>
      <c r="D10" s="25">
        <v>5.4649999999999999</v>
      </c>
      <c r="E10" s="25">
        <v>4.0780000000000003</v>
      </c>
      <c r="F10" s="25">
        <v>4.1879999999999997</v>
      </c>
      <c r="G10" s="25">
        <v>2.1819999999999999</v>
      </c>
      <c r="H10" s="25">
        <v>1.429</v>
      </c>
      <c r="I10" s="25">
        <v>0.19600000000000001</v>
      </c>
      <c r="J10" s="25">
        <v>0</v>
      </c>
      <c r="K10" s="25">
        <v>1.3149999999999999</v>
      </c>
      <c r="L10" s="25">
        <v>2.2709999999999999</v>
      </c>
      <c r="M10" s="25">
        <v>4.524</v>
      </c>
      <c r="N10" s="25">
        <v>3.1560000000000001</v>
      </c>
      <c r="O10" s="25">
        <v>1.7230000000000001</v>
      </c>
      <c r="P10" s="25">
        <v>2.9369999999999998</v>
      </c>
      <c r="Q10" s="25">
        <v>3.379</v>
      </c>
      <c r="R10" s="25">
        <v>3.6429999999999998</v>
      </c>
      <c r="S10" s="25">
        <v>4.1900000000000004</v>
      </c>
      <c r="T10" s="25">
        <v>4.4530000000000003</v>
      </c>
      <c r="U10" s="25">
        <v>6.44</v>
      </c>
      <c r="V10" s="25">
        <v>5.6029999999999998</v>
      </c>
      <c r="W10" s="25">
        <v>4.8760000000000003</v>
      </c>
      <c r="X10" s="25">
        <v>8.3249999999999993</v>
      </c>
      <c r="Y10" s="25">
        <v>11.863</v>
      </c>
      <c r="Z10" s="25">
        <v>13.339</v>
      </c>
      <c r="AA10" s="25">
        <v>16.565999999999999</v>
      </c>
      <c r="AB10" s="25">
        <v>18.300999999999998</v>
      </c>
      <c r="AC10" s="25">
        <v>25.184000000000001</v>
      </c>
      <c r="AD10" s="25">
        <v>8.0790000000000006</v>
      </c>
      <c r="AE10" s="25">
        <v>9.9469999999999992</v>
      </c>
      <c r="AF10" s="25">
        <v>4.6420000000000003</v>
      </c>
      <c r="AG10" s="25">
        <v>3.7349999999999999</v>
      </c>
      <c r="AH10" s="25">
        <v>6.077</v>
      </c>
      <c r="AI10" s="25">
        <v>1.7230000000000001</v>
      </c>
      <c r="AJ10" s="25">
        <v>1.429</v>
      </c>
      <c r="AK10" s="25">
        <v>0.19600000000000001</v>
      </c>
      <c r="AL10" s="25">
        <v>3.379</v>
      </c>
      <c r="AM10" s="25">
        <v>3.4729999999999999</v>
      </c>
      <c r="AN10" s="25">
        <v>11.54</v>
      </c>
      <c r="AO10" s="25">
        <v>1.7230000000000001</v>
      </c>
      <c r="AP10" s="25">
        <v>9.375</v>
      </c>
      <c r="AQ10" s="25">
        <v>6.5590000000000002</v>
      </c>
      <c r="AR10" s="25">
        <v>1.7230000000000001</v>
      </c>
      <c r="AS10" s="25">
        <v>1.7230000000000001</v>
      </c>
      <c r="AT10" s="25">
        <v>1.7230000000000001</v>
      </c>
      <c r="AU10" s="25">
        <v>5.8029999999999999</v>
      </c>
      <c r="AV10" s="25">
        <v>1.7230000000000001</v>
      </c>
      <c r="AW10" s="25">
        <v>5.4189999999999996</v>
      </c>
      <c r="AX10" s="25">
        <v>7.3380000000000001</v>
      </c>
      <c r="AY10" s="25">
        <v>1.7230000000000001</v>
      </c>
      <c r="AZ10" s="25">
        <v>2.7050000000000001</v>
      </c>
      <c r="BA10" s="25">
        <v>1.7230000000000001</v>
      </c>
      <c r="BB10" s="25">
        <v>3.1560000000000001</v>
      </c>
      <c r="BC10" s="25">
        <v>1.7230000000000001</v>
      </c>
      <c r="BD10" s="25">
        <v>2.129</v>
      </c>
      <c r="BE10" s="25">
        <v>1.7230000000000001</v>
      </c>
      <c r="BF10" s="25">
        <v>38.316000000000003</v>
      </c>
      <c r="BG10" s="25">
        <v>1.7230000000000001</v>
      </c>
      <c r="BH10" s="25">
        <v>1.7230000000000001</v>
      </c>
      <c r="BI10" s="25">
        <v>26.495000000000001</v>
      </c>
      <c r="BJ10" s="25">
        <v>1.7230000000000001</v>
      </c>
      <c r="BK10" s="25">
        <v>1.7230000000000001</v>
      </c>
      <c r="BL10" s="25">
        <v>1.7230000000000001</v>
      </c>
      <c r="BM10" s="25">
        <v>1.7230000000000001</v>
      </c>
      <c r="BN10" s="25">
        <v>1.7230000000000001</v>
      </c>
      <c r="BO10" s="25">
        <v>1.7230000000000001</v>
      </c>
      <c r="BP10" s="25">
        <v>6.4210000000000003</v>
      </c>
      <c r="BQ10" s="25">
        <v>4.4390000000000001</v>
      </c>
      <c r="BR10" s="25">
        <v>1.7230000000000001</v>
      </c>
      <c r="BS10" s="25">
        <v>1.7230000000000001</v>
      </c>
      <c r="BT10" s="25">
        <v>1.7230000000000001</v>
      </c>
      <c r="BU10" s="25">
        <v>8.6259999999999994</v>
      </c>
      <c r="BV10" s="25">
        <v>1.7230000000000001</v>
      </c>
      <c r="BW10" s="25">
        <v>1.7230000000000001</v>
      </c>
      <c r="BX10" s="25">
        <v>2.9180000000000001</v>
      </c>
      <c r="BY10" s="25">
        <v>3.7629999999999999</v>
      </c>
      <c r="BZ10" s="25">
        <v>4.2030000000000003</v>
      </c>
      <c r="CA10" s="25">
        <v>1.7230000000000001</v>
      </c>
      <c r="CB10" s="25">
        <v>1.7230000000000001</v>
      </c>
      <c r="CC10" s="25">
        <v>10.019</v>
      </c>
      <c r="CD10" s="25">
        <v>11.863</v>
      </c>
      <c r="CE10" s="25">
        <v>1.7230000000000001</v>
      </c>
      <c r="CF10" s="25">
        <v>18.523</v>
      </c>
      <c r="CG10" s="25">
        <v>26.582999999999998</v>
      </c>
      <c r="CH10" s="25">
        <v>1.7230000000000001</v>
      </c>
      <c r="CI10" s="25">
        <v>1.7230000000000001</v>
      </c>
      <c r="CJ10" s="25">
        <v>1.7230000000000001</v>
      </c>
      <c r="CK10" s="25">
        <v>1.7230000000000001</v>
      </c>
      <c r="CL10" s="25">
        <v>1.7230000000000001</v>
      </c>
      <c r="CM10" s="25">
        <v>1.7230000000000001</v>
      </c>
      <c r="CN10" s="25">
        <v>1.7230000000000001</v>
      </c>
      <c r="CO10" s="25">
        <v>1.7230000000000001</v>
      </c>
      <c r="CP10" s="25">
        <v>1.7230000000000001</v>
      </c>
      <c r="CQ10" s="25">
        <v>1.7230000000000001</v>
      </c>
      <c r="CR10" s="25">
        <v>1.7230000000000001</v>
      </c>
      <c r="CS10" s="25">
        <v>45.195</v>
      </c>
      <c r="CT10" s="25">
        <v>1.7230000000000001</v>
      </c>
      <c r="CU10" s="25">
        <v>1.7230000000000001</v>
      </c>
      <c r="CV10" s="25">
        <v>1.86</v>
      </c>
      <c r="CW10" s="25">
        <v>1.7230000000000001</v>
      </c>
      <c r="CX10" s="25">
        <v>1.7230000000000001</v>
      </c>
      <c r="CY10" s="25">
        <v>1.7230000000000001</v>
      </c>
      <c r="CZ10" s="25">
        <v>7.907</v>
      </c>
      <c r="DA10" s="25">
        <v>3.609</v>
      </c>
      <c r="DB10" s="25">
        <v>15.467000000000001</v>
      </c>
      <c r="DC10" s="25">
        <v>14.8</v>
      </c>
      <c r="DD10" s="25">
        <v>5.4850000000000003</v>
      </c>
      <c r="DE10" s="25">
        <v>14.679</v>
      </c>
      <c r="DF10" s="25">
        <v>1.7230000000000001</v>
      </c>
      <c r="DG10" s="25">
        <v>10.7</v>
      </c>
      <c r="DH10" s="25">
        <v>36.237000000000002</v>
      </c>
      <c r="DI10" s="25">
        <v>1.7230000000000001</v>
      </c>
      <c r="DJ10" s="25">
        <v>1.7230000000000001</v>
      </c>
      <c r="DK10" s="25">
        <v>2.786</v>
      </c>
      <c r="DL10" s="25">
        <v>1.7230000000000001</v>
      </c>
      <c r="DM10" s="25">
        <v>14.679</v>
      </c>
      <c r="DN10" s="25">
        <v>1.7230000000000001</v>
      </c>
      <c r="DO10" s="25">
        <v>1.7230000000000001</v>
      </c>
      <c r="DP10" s="25">
        <v>1.7230000000000001</v>
      </c>
      <c r="DQ10" s="25">
        <v>1.7230000000000001</v>
      </c>
      <c r="DR10" s="25">
        <v>1.7230000000000001</v>
      </c>
      <c r="DS10" s="25">
        <v>1.7230000000000001</v>
      </c>
      <c r="DT10" s="25">
        <v>1.7230000000000001</v>
      </c>
      <c r="DU10" s="25">
        <v>7.0119999999999996</v>
      </c>
      <c r="DV10" s="25">
        <v>1.7230000000000001</v>
      </c>
      <c r="DW10" s="25">
        <v>6.8490000000000002</v>
      </c>
      <c r="DX10" s="25">
        <v>12.488</v>
      </c>
      <c r="DY10" s="25">
        <v>1.7230000000000001</v>
      </c>
      <c r="DZ10" s="25">
        <v>12.753</v>
      </c>
      <c r="EA10" s="25">
        <v>1.7230000000000001</v>
      </c>
      <c r="EB10" s="25">
        <v>10.670999999999999</v>
      </c>
      <c r="EC10" s="25">
        <v>1.7230000000000001</v>
      </c>
      <c r="ED10" s="25">
        <v>1.7230000000000001</v>
      </c>
      <c r="EE10" s="25">
        <v>1.7230000000000001</v>
      </c>
      <c r="EF10" s="25">
        <v>1.7230000000000001</v>
      </c>
      <c r="EG10" s="25">
        <v>8.1460000000000008</v>
      </c>
      <c r="EH10" s="25">
        <v>5.4850000000000003</v>
      </c>
      <c r="EI10" s="25">
        <v>1.7230000000000001</v>
      </c>
      <c r="EJ10" s="25">
        <v>3.379</v>
      </c>
      <c r="EK10" s="25">
        <v>1.7230000000000001</v>
      </c>
      <c r="EL10" s="25">
        <v>1.7230000000000001</v>
      </c>
      <c r="EM10" s="25">
        <v>4.242</v>
      </c>
      <c r="EN10" s="25">
        <v>1.7230000000000001</v>
      </c>
      <c r="EO10" s="25">
        <v>5.0880000000000001</v>
      </c>
      <c r="EP10" s="25">
        <v>1.7230000000000001</v>
      </c>
      <c r="EQ10" s="25">
        <v>1.7230000000000001</v>
      </c>
      <c r="ER10" s="25">
        <v>44.350999999999999</v>
      </c>
      <c r="ES10" s="25">
        <v>8.8680000000000003</v>
      </c>
      <c r="ET10" s="25">
        <v>1.7230000000000001</v>
      </c>
      <c r="EU10" s="25">
        <v>1.7230000000000001</v>
      </c>
      <c r="EV10" s="25">
        <v>1.7230000000000001</v>
      </c>
      <c r="EW10" s="25"/>
    </row>
    <row r="11" spans="1:153" ht="17.25" customHeight="1" x14ac:dyDescent="0.25">
      <c r="A11" s="25" t="s">
        <v>130</v>
      </c>
      <c r="B11" s="25">
        <v>8.1270000000000007</v>
      </c>
      <c r="C11" s="25">
        <v>6.8760000000000003</v>
      </c>
      <c r="D11" s="25">
        <v>6.2640000000000002</v>
      </c>
      <c r="E11" s="25">
        <v>4.8769999999999998</v>
      </c>
      <c r="F11" s="25">
        <v>4.9870000000000001</v>
      </c>
      <c r="G11" s="25">
        <v>2.9809999999999999</v>
      </c>
      <c r="H11" s="25">
        <v>2.2280000000000002</v>
      </c>
      <c r="I11" s="25">
        <v>0.995</v>
      </c>
      <c r="J11" s="25">
        <v>0.79800000000000004</v>
      </c>
      <c r="K11" s="25">
        <v>0</v>
      </c>
      <c r="L11" s="25">
        <v>1.6439999999999999</v>
      </c>
      <c r="M11" s="25">
        <v>5.335</v>
      </c>
      <c r="N11" s="25">
        <v>3.9670000000000001</v>
      </c>
      <c r="O11" s="25">
        <v>2.5219999999999998</v>
      </c>
      <c r="P11" s="25">
        <v>3.7360000000000002</v>
      </c>
      <c r="Q11" s="25">
        <v>4.1779999999999999</v>
      </c>
      <c r="R11" s="25">
        <v>4.4420000000000002</v>
      </c>
      <c r="S11" s="25">
        <v>4.9889999999999999</v>
      </c>
      <c r="T11" s="25">
        <v>5.2519999999999998</v>
      </c>
      <c r="U11" s="25">
        <v>7.2389999999999999</v>
      </c>
      <c r="V11" s="25">
        <v>6.4020000000000001</v>
      </c>
      <c r="W11" s="25">
        <v>5.6749999999999998</v>
      </c>
      <c r="X11" s="25">
        <v>7.6989999999999998</v>
      </c>
      <c r="Y11" s="25">
        <v>12.664</v>
      </c>
      <c r="Z11" s="25">
        <v>14.14</v>
      </c>
      <c r="AA11" s="25">
        <v>17.364999999999998</v>
      </c>
      <c r="AB11" s="25">
        <v>19.100000000000001</v>
      </c>
      <c r="AC11" s="25">
        <v>25.983000000000001</v>
      </c>
      <c r="AD11" s="25">
        <v>7.4530000000000003</v>
      </c>
      <c r="AE11" s="25">
        <v>9.8840000000000003</v>
      </c>
      <c r="AF11" s="25">
        <v>4.016</v>
      </c>
      <c r="AG11" s="25">
        <v>3.109</v>
      </c>
      <c r="AH11" s="25">
        <v>6.8760000000000003</v>
      </c>
      <c r="AI11" s="25">
        <v>2.5219999999999998</v>
      </c>
      <c r="AJ11" s="25">
        <v>2.2280000000000002</v>
      </c>
      <c r="AK11" s="25">
        <v>0.995</v>
      </c>
      <c r="AL11" s="25">
        <v>4.1779999999999999</v>
      </c>
      <c r="AM11" s="25">
        <v>2.847</v>
      </c>
      <c r="AN11" s="25">
        <v>11.561999999999999</v>
      </c>
      <c r="AO11" s="25">
        <v>2.5219999999999998</v>
      </c>
      <c r="AP11" s="25">
        <v>10.176</v>
      </c>
      <c r="AQ11" s="25">
        <v>7.3579999999999997</v>
      </c>
      <c r="AR11" s="25">
        <v>2.5219999999999998</v>
      </c>
      <c r="AS11" s="25">
        <v>2.5219999999999998</v>
      </c>
      <c r="AT11" s="25">
        <v>2.5219999999999998</v>
      </c>
      <c r="AU11" s="25">
        <v>6.6040000000000001</v>
      </c>
      <c r="AV11" s="25">
        <v>2.5219999999999998</v>
      </c>
      <c r="AW11" s="25">
        <v>6.218</v>
      </c>
      <c r="AX11" s="25">
        <v>8.1489999999999991</v>
      </c>
      <c r="AY11" s="25">
        <v>2.5219999999999998</v>
      </c>
      <c r="AZ11" s="25">
        <v>3.516</v>
      </c>
      <c r="BA11" s="25">
        <v>2.5219999999999998</v>
      </c>
      <c r="BB11" s="25">
        <v>3.9550000000000001</v>
      </c>
      <c r="BC11" s="25">
        <v>2.5219999999999998</v>
      </c>
      <c r="BD11" s="25">
        <v>2.94</v>
      </c>
      <c r="BE11" s="25">
        <v>2.5219999999999998</v>
      </c>
      <c r="BF11" s="25">
        <v>39.115000000000002</v>
      </c>
      <c r="BG11" s="25">
        <v>2.5219999999999998</v>
      </c>
      <c r="BH11" s="25">
        <v>2.5219999999999998</v>
      </c>
      <c r="BI11" s="25">
        <v>27.294</v>
      </c>
      <c r="BJ11" s="25">
        <v>2.5219999999999998</v>
      </c>
      <c r="BK11" s="25">
        <v>2.5219999999999998</v>
      </c>
      <c r="BL11" s="25">
        <v>2.5219999999999998</v>
      </c>
      <c r="BM11" s="25">
        <v>2.5219999999999998</v>
      </c>
      <c r="BN11" s="25">
        <v>2.5219999999999998</v>
      </c>
      <c r="BO11" s="25">
        <v>2.5219999999999998</v>
      </c>
      <c r="BP11" s="25">
        <v>7.22</v>
      </c>
      <c r="BQ11" s="25">
        <v>5.2380000000000004</v>
      </c>
      <c r="BR11" s="25">
        <v>2.5219999999999998</v>
      </c>
      <c r="BS11" s="25">
        <v>2.5219999999999998</v>
      </c>
      <c r="BT11" s="25">
        <v>2.5219999999999998</v>
      </c>
      <c r="BU11" s="25">
        <v>9.4250000000000007</v>
      </c>
      <c r="BV11" s="25">
        <v>2.5219999999999998</v>
      </c>
      <c r="BW11" s="25">
        <v>2.5219999999999998</v>
      </c>
      <c r="BX11" s="25">
        <v>3.1629999999999998</v>
      </c>
      <c r="BY11" s="25">
        <v>4.5640000000000001</v>
      </c>
      <c r="BZ11" s="25">
        <v>5.0019999999999998</v>
      </c>
      <c r="CA11" s="25">
        <v>2.5219999999999998</v>
      </c>
      <c r="CB11" s="25">
        <v>2.5219999999999998</v>
      </c>
      <c r="CC11" s="25">
        <v>10.82</v>
      </c>
      <c r="CD11" s="25">
        <v>12.664</v>
      </c>
      <c r="CE11" s="25">
        <v>2.5219999999999998</v>
      </c>
      <c r="CF11" s="25">
        <v>19.321999999999999</v>
      </c>
      <c r="CG11" s="25">
        <v>27.382000000000001</v>
      </c>
      <c r="CH11" s="25">
        <v>2.5219999999999998</v>
      </c>
      <c r="CI11" s="25">
        <v>2.5219999999999998</v>
      </c>
      <c r="CJ11" s="25">
        <v>2.5219999999999998</v>
      </c>
      <c r="CK11" s="25">
        <v>2.5219999999999998</v>
      </c>
      <c r="CL11" s="25">
        <v>2.5219999999999998</v>
      </c>
      <c r="CM11" s="25">
        <v>2.5219999999999998</v>
      </c>
      <c r="CN11" s="25">
        <v>2.5219999999999998</v>
      </c>
      <c r="CO11" s="25">
        <v>2.5219999999999998</v>
      </c>
      <c r="CP11" s="25">
        <v>2.5219999999999998</v>
      </c>
      <c r="CQ11" s="25">
        <v>2.5219999999999998</v>
      </c>
      <c r="CR11" s="25">
        <v>2.5219999999999998</v>
      </c>
      <c r="CS11" s="25">
        <v>45.994</v>
      </c>
      <c r="CT11" s="25">
        <v>2.5219999999999998</v>
      </c>
      <c r="CU11" s="25">
        <v>2.5219999999999998</v>
      </c>
      <c r="CV11" s="25">
        <v>1.796</v>
      </c>
      <c r="CW11" s="25">
        <v>2.5219999999999998</v>
      </c>
      <c r="CX11" s="25">
        <v>2.5219999999999998</v>
      </c>
      <c r="CY11" s="25">
        <v>2.5219999999999998</v>
      </c>
      <c r="CZ11" s="25">
        <v>8.7059999999999995</v>
      </c>
      <c r="DA11" s="25">
        <v>4.4080000000000004</v>
      </c>
      <c r="DB11" s="25">
        <v>16.268000000000001</v>
      </c>
      <c r="DC11" s="25">
        <v>15.601000000000001</v>
      </c>
      <c r="DD11" s="25">
        <v>6.2839999999999998</v>
      </c>
      <c r="DE11" s="25">
        <v>14.241</v>
      </c>
      <c r="DF11" s="25">
        <v>2.5219999999999998</v>
      </c>
      <c r="DG11" s="25">
        <v>11.499000000000001</v>
      </c>
      <c r="DH11" s="25">
        <v>37.036000000000001</v>
      </c>
      <c r="DI11" s="25">
        <v>2.5219999999999998</v>
      </c>
      <c r="DJ11" s="25">
        <v>2.5219999999999998</v>
      </c>
      <c r="DK11" s="25">
        <v>3.585</v>
      </c>
      <c r="DL11" s="25">
        <v>2.5219999999999998</v>
      </c>
      <c r="DM11" s="25">
        <v>14.241</v>
      </c>
      <c r="DN11" s="25">
        <v>2.5219999999999998</v>
      </c>
      <c r="DO11" s="25">
        <v>2.5219999999999998</v>
      </c>
      <c r="DP11" s="25">
        <v>2.5219999999999998</v>
      </c>
      <c r="DQ11" s="25">
        <v>2.5219999999999998</v>
      </c>
      <c r="DR11" s="25">
        <v>2.5219999999999998</v>
      </c>
      <c r="DS11" s="25">
        <v>2.5219999999999998</v>
      </c>
      <c r="DT11" s="25">
        <v>2.5219999999999998</v>
      </c>
      <c r="DU11" s="25">
        <v>7.8109999999999999</v>
      </c>
      <c r="DV11" s="25">
        <v>2.5219999999999998</v>
      </c>
      <c r="DW11" s="25">
        <v>6.2229999999999999</v>
      </c>
      <c r="DX11" s="25">
        <v>13.103</v>
      </c>
      <c r="DY11" s="25">
        <v>2.5219999999999998</v>
      </c>
      <c r="DZ11" s="25">
        <v>13.368</v>
      </c>
      <c r="EA11" s="25">
        <v>2.5219999999999998</v>
      </c>
      <c r="EB11" s="25">
        <v>11.47</v>
      </c>
      <c r="EC11" s="25">
        <v>2.5219999999999998</v>
      </c>
      <c r="ED11" s="25">
        <v>2.5219999999999998</v>
      </c>
      <c r="EE11" s="25">
        <v>2.5219999999999998</v>
      </c>
      <c r="EF11" s="25">
        <v>2.5219999999999998</v>
      </c>
      <c r="EG11" s="25">
        <v>8.9450000000000003</v>
      </c>
      <c r="EH11" s="25">
        <v>5.0469999999999997</v>
      </c>
      <c r="EI11" s="25">
        <v>2.5219999999999998</v>
      </c>
      <c r="EJ11" s="25">
        <v>4.1779999999999999</v>
      </c>
      <c r="EK11" s="25">
        <v>2.5219999999999998</v>
      </c>
      <c r="EL11" s="25">
        <v>2.5219999999999998</v>
      </c>
      <c r="EM11" s="25">
        <v>4</v>
      </c>
      <c r="EN11" s="25">
        <v>2.5219999999999998</v>
      </c>
      <c r="EO11" s="25">
        <v>5.8869999999999996</v>
      </c>
      <c r="EP11" s="25">
        <v>2.5219999999999998</v>
      </c>
      <c r="EQ11" s="25">
        <v>2.5219999999999998</v>
      </c>
      <c r="ER11" s="25">
        <v>45.15</v>
      </c>
      <c r="ES11" s="25">
        <v>8.2420000000000009</v>
      </c>
      <c r="ET11" s="25">
        <v>2.5219999999999998</v>
      </c>
      <c r="EU11" s="25">
        <v>2.5219999999999998</v>
      </c>
      <c r="EV11" s="25">
        <v>2.5219999999999998</v>
      </c>
      <c r="EW11" s="25"/>
    </row>
    <row r="12" spans="1:153" ht="17.25" customHeight="1" x14ac:dyDescent="0.25">
      <c r="A12" s="25" t="s">
        <v>131</v>
      </c>
      <c r="B12" s="25">
        <v>16.917999999999999</v>
      </c>
      <c r="C12" s="25">
        <v>8.5139999999999993</v>
      </c>
      <c r="D12" s="25">
        <v>7.9020000000000001</v>
      </c>
      <c r="E12" s="25">
        <v>6.5149999999999997</v>
      </c>
      <c r="F12" s="25">
        <v>6.625</v>
      </c>
      <c r="G12" s="25">
        <v>4.6189999999999998</v>
      </c>
      <c r="H12" s="25">
        <v>3.8660000000000001</v>
      </c>
      <c r="I12" s="25">
        <v>2.633</v>
      </c>
      <c r="J12" s="25">
        <v>2.4369999999999998</v>
      </c>
      <c r="K12" s="25">
        <v>1.6379999999999999</v>
      </c>
      <c r="L12" s="25">
        <v>0</v>
      </c>
      <c r="M12" s="25">
        <v>7.2169999999999996</v>
      </c>
      <c r="N12" s="25">
        <v>5.8490000000000002</v>
      </c>
      <c r="O12" s="25">
        <v>4.16</v>
      </c>
      <c r="P12" s="25">
        <v>4.6989999999999998</v>
      </c>
      <c r="Q12" s="25">
        <v>4.835</v>
      </c>
      <c r="R12" s="25">
        <v>4.524</v>
      </c>
      <c r="S12" s="25">
        <v>8.1549999999999994</v>
      </c>
      <c r="T12" s="25">
        <v>8.4179999999999993</v>
      </c>
      <c r="U12" s="25">
        <v>6.5449999999999999</v>
      </c>
      <c r="V12" s="25">
        <v>6.4020000000000001</v>
      </c>
      <c r="W12" s="25">
        <v>5.73</v>
      </c>
      <c r="X12" s="25">
        <v>6.0640000000000001</v>
      </c>
      <c r="Y12" s="25">
        <v>19.361000000000001</v>
      </c>
      <c r="Z12" s="25">
        <v>20.835999999999999</v>
      </c>
      <c r="AA12" s="25">
        <v>20.527000000000001</v>
      </c>
      <c r="AB12" s="25">
        <v>22.262</v>
      </c>
      <c r="AC12" s="25">
        <v>29.145</v>
      </c>
      <c r="AD12" s="25">
        <v>5.8179999999999996</v>
      </c>
      <c r="AE12" s="25">
        <v>16.89</v>
      </c>
      <c r="AF12" s="25">
        <v>2.3809999999999998</v>
      </c>
      <c r="AG12" s="25">
        <v>1.474</v>
      </c>
      <c r="AH12" s="25">
        <v>8.5139999999999993</v>
      </c>
      <c r="AI12" s="25">
        <v>4.16</v>
      </c>
      <c r="AJ12" s="25">
        <v>3.8660000000000001</v>
      </c>
      <c r="AK12" s="25">
        <v>2.633</v>
      </c>
      <c r="AL12" s="25">
        <v>4.835</v>
      </c>
      <c r="AM12" s="25">
        <v>1.212</v>
      </c>
      <c r="AN12" s="25">
        <v>10.685</v>
      </c>
      <c r="AO12" s="25">
        <v>4.16</v>
      </c>
      <c r="AP12" s="25">
        <v>17.747</v>
      </c>
      <c r="AQ12" s="25">
        <v>9.1950000000000003</v>
      </c>
      <c r="AR12" s="25">
        <v>4.16</v>
      </c>
      <c r="AS12" s="25">
        <v>4.16</v>
      </c>
      <c r="AT12" s="25">
        <v>4.16</v>
      </c>
      <c r="AU12" s="25">
        <v>8.4960000000000004</v>
      </c>
      <c r="AV12" s="25">
        <v>4.16</v>
      </c>
      <c r="AW12" s="25">
        <v>6.5620000000000003</v>
      </c>
      <c r="AX12" s="25">
        <v>10.031000000000001</v>
      </c>
      <c r="AY12" s="25">
        <v>4.16</v>
      </c>
      <c r="AZ12" s="25">
        <v>5.3979999999999997</v>
      </c>
      <c r="BA12" s="25">
        <v>4.16</v>
      </c>
      <c r="BB12" s="25">
        <v>4.7690000000000001</v>
      </c>
      <c r="BC12" s="25">
        <v>4.16</v>
      </c>
      <c r="BD12" s="25">
        <v>4.8220000000000001</v>
      </c>
      <c r="BE12" s="25">
        <v>4.16</v>
      </c>
      <c r="BF12" s="25">
        <v>42.277000000000001</v>
      </c>
      <c r="BG12" s="25">
        <v>4.16</v>
      </c>
      <c r="BH12" s="25">
        <v>4.16</v>
      </c>
      <c r="BI12" s="25">
        <v>30.457000000000001</v>
      </c>
      <c r="BJ12" s="25">
        <v>4.16</v>
      </c>
      <c r="BK12" s="25">
        <v>4.16</v>
      </c>
      <c r="BL12" s="25">
        <v>4.16</v>
      </c>
      <c r="BM12" s="25">
        <v>4.16</v>
      </c>
      <c r="BN12" s="25">
        <v>4.16</v>
      </c>
      <c r="BO12" s="25">
        <v>4.16</v>
      </c>
      <c r="BP12" s="25">
        <v>7.2789999999999999</v>
      </c>
      <c r="BQ12" s="25">
        <v>6.8760000000000003</v>
      </c>
      <c r="BR12" s="25">
        <v>4.16</v>
      </c>
      <c r="BS12" s="25">
        <v>4.16</v>
      </c>
      <c r="BT12" s="25">
        <v>4.16</v>
      </c>
      <c r="BU12" s="25">
        <v>12.522</v>
      </c>
      <c r="BV12" s="25">
        <v>4.16</v>
      </c>
      <c r="BW12" s="25">
        <v>4.16</v>
      </c>
      <c r="BX12" s="25">
        <v>1.5189999999999999</v>
      </c>
      <c r="BY12" s="25">
        <v>6.4560000000000004</v>
      </c>
      <c r="BZ12" s="25">
        <v>6.64</v>
      </c>
      <c r="CA12" s="25">
        <v>4.16</v>
      </c>
      <c r="CB12" s="25">
        <v>4.16</v>
      </c>
      <c r="CC12" s="25">
        <v>18.456</v>
      </c>
      <c r="CD12" s="25">
        <v>19.361000000000001</v>
      </c>
      <c r="CE12" s="25">
        <v>4.16</v>
      </c>
      <c r="CF12" s="25">
        <v>22.484000000000002</v>
      </c>
      <c r="CG12" s="25">
        <v>30.544</v>
      </c>
      <c r="CH12" s="25">
        <v>4.16</v>
      </c>
      <c r="CI12" s="25">
        <v>4.16</v>
      </c>
      <c r="CJ12" s="25">
        <v>4.16</v>
      </c>
      <c r="CK12" s="25">
        <v>4.16</v>
      </c>
      <c r="CL12" s="25">
        <v>4.16</v>
      </c>
      <c r="CM12" s="25">
        <v>4.16</v>
      </c>
      <c r="CN12" s="25">
        <v>4.16</v>
      </c>
      <c r="CO12" s="25">
        <v>4.16</v>
      </c>
      <c r="CP12" s="25">
        <v>4.16</v>
      </c>
      <c r="CQ12" s="25">
        <v>4.16</v>
      </c>
      <c r="CR12" s="25">
        <v>4.16</v>
      </c>
      <c r="CS12" s="25">
        <v>49.156999999999996</v>
      </c>
      <c r="CT12" s="25">
        <v>4.16</v>
      </c>
      <c r="CU12" s="25">
        <v>4.16</v>
      </c>
      <c r="CV12" s="25">
        <v>2.5819999999999999</v>
      </c>
      <c r="CW12" s="25">
        <v>4.16</v>
      </c>
      <c r="CX12" s="25">
        <v>4.16</v>
      </c>
      <c r="CY12" s="25">
        <v>4.16</v>
      </c>
      <c r="CZ12" s="25">
        <v>11.803000000000001</v>
      </c>
      <c r="DA12" s="25">
        <v>5.3710000000000004</v>
      </c>
      <c r="DB12" s="25">
        <v>22.963999999999999</v>
      </c>
      <c r="DC12" s="25">
        <v>22.297000000000001</v>
      </c>
      <c r="DD12" s="25">
        <v>7.9219999999999997</v>
      </c>
      <c r="DE12" s="25">
        <v>12.893000000000001</v>
      </c>
      <c r="DF12" s="25">
        <v>4.16</v>
      </c>
      <c r="DG12" s="25">
        <v>14.662000000000001</v>
      </c>
      <c r="DH12" s="25">
        <v>40.198</v>
      </c>
      <c r="DI12" s="25">
        <v>4.16</v>
      </c>
      <c r="DJ12" s="25">
        <v>4.16</v>
      </c>
      <c r="DK12" s="25">
        <v>3.895</v>
      </c>
      <c r="DL12" s="25">
        <v>4.16</v>
      </c>
      <c r="DM12" s="25">
        <v>12.893000000000001</v>
      </c>
      <c r="DN12" s="25">
        <v>4.16</v>
      </c>
      <c r="DO12" s="25">
        <v>4.16</v>
      </c>
      <c r="DP12" s="25">
        <v>4.16</v>
      </c>
      <c r="DQ12" s="25">
        <v>4.16</v>
      </c>
      <c r="DR12" s="25">
        <v>4.16</v>
      </c>
      <c r="DS12" s="25">
        <v>4.16</v>
      </c>
      <c r="DT12" s="25">
        <v>4.16</v>
      </c>
      <c r="DU12" s="25">
        <v>8.7739999999999991</v>
      </c>
      <c r="DV12" s="25">
        <v>4.16</v>
      </c>
      <c r="DW12" s="25">
        <v>4.5880000000000001</v>
      </c>
      <c r="DX12" s="25">
        <v>11.468</v>
      </c>
      <c r="DY12" s="25">
        <v>4.16</v>
      </c>
      <c r="DZ12" s="25">
        <v>11.733000000000001</v>
      </c>
      <c r="EA12" s="25">
        <v>4.16</v>
      </c>
      <c r="EB12" s="25">
        <v>14.632999999999999</v>
      </c>
      <c r="EC12" s="25">
        <v>4.16</v>
      </c>
      <c r="ED12" s="25">
        <v>4.16</v>
      </c>
      <c r="EE12" s="25">
        <v>4.16</v>
      </c>
      <c r="EF12" s="25">
        <v>4.16</v>
      </c>
      <c r="EG12" s="25">
        <v>15.475</v>
      </c>
      <c r="EH12" s="25">
        <v>3.9060000000000001</v>
      </c>
      <c r="EI12" s="25">
        <v>4.16</v>
      </c>
      <c r="EJ12" s="25">
        <v>4.835</v>
      </c>
      <c r="EK12" s="25">
        <v>4.16</v>
      </c>
      <c r="EL12" s="25">
        <v>4.16</v>
      </c>
      <c r="EM12" s="25">
        <v>3.66</v>
      </c>
      <c r="EN12" s="25">
        <v>4.16</v>
      </c>
      <c r="EO12" s="25">
        <v>9.2420000000000009</v>
      </c>
      <c r="EP12" s="25">
        <v>4.16</v>
      </c>
      <c r="EQ12" s="25">
        <v>4.16</v>
      </c>
      <c r="ER12" s="25">
        <v>48.311999999999998</v>
      </c>
      <c r="ES12" s="25">
        <v>6.6070000000000002</v>
      </c>
      <c r="ET12" s="25">
        <v>4.16</v>
      </c>
      <c r="EU12" s="25">
        <v>4.16</v>
      </c>
      <c r="EV12" s="25">
        <v>4.16</v>
      </c>
      <c r="EW12" s="25"/>
    </row>
    <row r="13" spans="1:153" ht="17.25" customHeight="1" x14ac:dyDescent="0.25">
      <c r="A13" s="25" t="s">
        <v>132</v>
      </c>
      <c r="B13" s="25">
        <v>8.1869999999999994</v>
      </c>
      <c r="C13" s="25">
        <v>6.9359999999999999</v>
      </c>
      <c r="D13" s="25">
        <v>6.13</v>
      </c>
      <c r="E13" s="25">
        <v>5.4409999999999998</v>
      </c>
      <c r="F13" s="25">
        <v>4.3929999999999998</v>
      </c>
      <c r="G13" s="25">
        <v>3.5459999999999998</v>
      </c>
      <c r="H13" s="25">
        <v>4.0389999999999997</v>
      </c>
      <c r="I13" s="25">
        <v>4.319</v>
      </c>
      <c r="J13" s="25">
        <v>4.5759999999999996</v>
      </c>
      <c r="K13" s="25">
        <v>5.5529999999999999</v>
      </c>
      <c r="L13" s="25">
        <v>6.508</v>
      </c>
      <c r="M13" s="25">
        <v>0</v>
      </c>
      <c r="N13" s="25">
        <v>1.3540000000000001</v>
      </c>
      <c r="O13" s="25">
        <v>3.7610000000000001</v>
      </c>
      <c r="P13" s="25">
        <v>4.45</v>
      </c>
      <c r="Q13" s="25">
        <v>5.2510000000000003</v>
      </c>
      <c r="R13" s="25">
        <v>6.3079999999999998</v>
      </c>
      <c r="S13" s="25">
        <v>7.3869999999999996</v>
      </c>
      <c r="T13" s="25">
        <v>7.65</v>
      </c>
      <c r="U13" s="25">
        <v>9.9749999999999996</v>
      </c>
      <c r="V13" s="25">
        <v>9.1379999999999999</v>
      </c>
      <c r="W13" s="25">
        <v>8.4109999999999996</v>
      </c>
      <c r="X13" s="25">
        <v>12.563000000000001</v>
      </c>
      <c r="Y13" s="25">
        <v>11.15</v>
      </c>
      <c r="Z13" s="25">
        <v>12.625999999999999</v>
      </c>
      <c r="AA13" s="25">
        <v>15.65</v>
      </c>
      <c r="AB13" s="25">
        <v>17.385000000000002</v>
      </c>
      <c r="AC13" s="25">
        <v>28.381</v>
      </c>
      <c r="AD13" s="25">
        <v>12.317</v>
      </c>
      <c r="AE13" s="25">
        <v>10.29</v>
      </c>
      <c r="AF13" s="25">
        <v>8.8800000000000008</v>
      </c>
      <c r="AG13" s="25">
        <v>7.9729999999999999</v>
      </c>
      <c r="AH13" s="25">
        <v>6.9359999999999999</v>
      </c>
      <c r="AI13" s="25">
        <v>3.7610000000000001</v>
      </c>
      <c r="AJ13" s="25">
        <v>4.0389999999999997</v>
      </c>
      <c r="AK13" s="25">
        <v>4.319</v>
      </c>
      <c r="AL13" s="25">
        <v>5.2510000000000003</v>
      </c>
      <c r="AM13" s="25">
        <v>7.7110000000000003</v>
      </c>
      <c r="AN13" s="25">
        <v>14.955</v>
      </c>
      <c r="AO13" s="25">
        <v>3.7610000000000001</v>
      </c>
      <c r="AP13" s="25">
        <v>8.6620000000000008</v>
      </c>
      <c r="AQ13" s="25">
        <v>7.4960000000000004</v>
      </c>
      <c r="AR13" s="25">
        <v>3.7610000000000001</v>
      </c>
      <c r="AS13" s="25">
        <v>3.7610000000000001</v>
      </c>
      <c r="AT13" s="25">
        <v>3.7610000000000001</v>
      </c>
      <c r="AU13" s="25">
        <v>4.7389999999999999</v>
      </c>
      <c r="AV13" s="25">
        <v>3.7610000000000001</v>
      </c>
      <c r="AW13" s="25">
        <v>6.69</v>
      </c>
      <c r="AX13" s="25">
        <v>2.9540000000000002</v>
      </c>
      <c r="AY13" s="25">
        <v>3.7610000000000001</v>
      </c>
      <c r="AZ13" s="25">
        <v>2.024</v>
      </c>
      <c r="BA13" s="25">
        <v>3.7610000000000001</v>
      </c>
      <c r="BB13" s="25">
        <v>4.5199999999999996</v>
      </c>
      <c r="BC13" s="25">
        <v>3.7610000000000001</v>
      </c>
      <c r="BD13" s="25">
        <v>2.7090000000000001</v>
      </c>
      <c r="BE13" s="25">
        <v>3.7610000000000001</v>
      </c>
      <c r="BF13" s="25">
        <v>41.512999999999998</v>
      </c>
      <c r="BG13" s="25">
        <v>3.7610000000000001</v>
      </c>
      <c r="BH13" s="25">
        <v>3.7610000000000001</v>
      </c>
      <c r="BI13" s="25">
        <v>28.905999999999999</v>
      </c>
      <c r="BJ13" s="25">
        <v>3.7610000000000001</v>
      </c>
      <c r="BK13" s="25">
        <v>3.7610000000000001</v>
      </c>
      <c r="BL13" s="25">
        <v>3.7610000000000001</v>
      </c>
      <c r="BM13" s="25">
        <v>3.7610000000000001</v>
      </c>
      <c r="BN13" s="25">
        <v>3.7610000000000001</v>
      </c>
      <c r="BO13" s="25">
        <v>3.7610000000000001</v>
      </c>
      <c r="BP13" s="25">
        <v>9.9559999999999995</v>
      </c>
      <c r="BQ13" s="25">
        <v>5.4130000000000003</v>
      </c>
      <c r="BR13" s="25">
        <v>3.7610000000000001</v>
      </c>
      <c r="BS13" s="25">
        <v>3.7610000000000001</v>
      </c>
      <c r="BT13" s="25">
        <v>3.7610000000000001</v>
      </c>
      <c r="BU13" s="25">
        <v>11.754</v>
      </c>
      <c r="BV13" s="25">
        <v>3.7610000000000001</v>
      </c>
      <c r="BW13" s="25">
        <v>3.7610000000000001</v>
      </c>
      <c r="BX13" s="25">
        <v>7.19</v>
      </c>
      <c r="BY13" s="25">
        <v>3.3149999999999999</v>
      </c>
      <c r="BZ13" s="25">
        <v>5.5659999999999998</v>
      </c>
      <c r="CA13" s="25">
        <v>3.7610000000000001</v>
      </c>
      <c r="CB13" s="25">
        <v>3.7610000000000001</v>
      </c>
      <c r="CC13" s="25">
        <v>9.0120000000000005</v>
      </c>
      <c r="CD13" s="25">
        <v>11.15</v>
      </c>
      <c r="CE13" s="25">
        <v>3.7610000000000001</v>
      </c>
      <c r="CF13" s="25">
        <v>21.72</v>
      </c>
      <c r="CG13" s="25">
        <v>29.78</v>
      </c>
      <c r="CH13" s="25">
        <v>3.7610000000000001</v>
      </c>
      <c r="CI13" s="25">
        <v>3.7610000000000001</v>
      </c>
      <c r="CJ13" s="25">
        <v>3.7610000000000001</v>
      </c>
      <c r="CK13" s="25">
        <v>3.7610000000000001</v>
      </c>
      <c r="CL13" s="25">
        <v>3.7610000000000001</v>
      </c>
      <c r="CM13" s="25">
        <v>3.7610000000000001</v>
      </c>
      <c r="CN13" s="25">
        <v>3.7610000000000001</v>
      </c>
      <c r="CO13" s="25">
        <v>3.7610000000000001</v>
      </c>
      <c r="CP13" s="25">
        <v>3.7610000000000001</v>
      </c>
      <c r="CQ13" s="25">
        <v>3.7610000000000001</v>
      </c>
      <c r="CR13" s="25">
        <v>3.7610000000000001</v>
      </c>
      <c r="CS13" s="25">
        <v>47.604999999999997</v>
      </c>
      <c r="CT13" s="25">
        <v>3.7610000000000001</v>
      </c>
      <c r="CU13" s="25">
        <v>3.7610000000000001</v>
      </c>
      <c r="CV13" s="25">
        <v>6.79</v>
      </c>
      <c r="CW13" s="25">
        <v>3.7610000000000001</v>
      </c>
      <c r="CX13" s="25">
        <v>3.7610000000000001</v>
      </c>
      <c r="CY13" s="25">
        <v>3.7610000000000001</v>
      </c>
      <c r="CZ13" s="25">
        <v>11.035</v>
      </c>
      <c r="DA13" s="25">
        <v>4.9420000000000002</v>
      </c>
      <c r="DB13" s="25">
        <v>14.754</v>
      </c>
      <c r="DC13" s="25">
        <v>14.087</v>
      </c>
      <c r="DD13" s="25">
        <v>5.64</v>
      </c>
      <c r="DE13" s="25">
        <v>17.870999999999999</v>
      </c>
      <c r="DF13" s="25">
        <v>3.7610000000000001</v>
      </c>
      <c r="DG13" s="25">
        <v>11.141999999999999</v>
      </c>
      <c r="DH13" s="25">
        <v>39.433999999999997</v>
      </c>
      <c r="DI13" s="25">
        <v>3.7610000000000001</v>
      </c>
      <c r="DJ13" s="25">
        <v>3.7610000000000001</v>
      </c>
      <c r="DK13" s="25">
        <v>6.1829999999999998</v>
      </c>
      <c r="DL13" s="25">
        <v>3.7610000000000001</v>
      </c>
      <c r="DM13" s="25">
        <v>17.870999999999999</v>
      </c>
      <c r="DN13" s="25">
        <v>3.7610000000000001</v>
      </c>
      <c r="DO13" s="25">
        <v>3.7610000000000001</v>
      </c>
      <c r="DP13" s="25">
        <v>3.7610000000000001</v>
      </c>
      <c r="DQ13" s="25">
        <v>3.7610000000000001</v>
      </c>
      <c r="DR13" s="25">
        <v>3.7610000000000001</v>
      </c>
      <c r="DS13" s="25">
        <v>3.7610000000000001</v>
      </c>
      <c r="DT13" s="25">
        <v>3.7610000000000001</v>
      </c>
      <c r="DU13" s="25">
        <v>8.2349999999999994</v>
      </c>
      <c r="DV13" s="25">
        <v>3.7610000000000001</v>
      </c>
      <c r="DW13" s="25">
        <v>11.087</v>
      </c>
      <c r="DX13" s="25">
        <v>17.928999999999998</v>
      </c>
      <c r="DY13" s="25">
        <v>3.7610000000000001</v>
      </c>
      <c r="DZ13" s="25">
        <v>18.193999999999999</v>
      </c>
      <c r="EA13" s="25">
        <v>3.7610000000000001</v>
      </c>
      <c r="EB13" s="25">
        <v>11.113</v>
      </c>
      <c r="EC13" s="25">
        <v>3.7610000000000001</v>
      </c>
      <c r="ED13" s="25">
        <v>3.7610000000000001</v>
      </c>
      <c r="EE13" s="25">
        <v>3.7610000000000001</v>
      </c>
      <c r="EF13" s="25">
        <v>3.7610000000000001</v>
      </c>
      <c r="EG13" s="25">
        <v>9.3689999999999998</v>
      </c>
      <c r="EH13" s="25">
        <v>8.6769999999999996</v>
      </c>
      <c r="EI13" s="25">
        <v>3.7610000000000001</v>
      </c>
      <c r="EJ13" s="25">
        <v>5.2510000000000003</v>
      </c>
      <c r="EK13" s="25">
        <v>3.7610000000000001</v>
      </c>
      <c r="EL13" s="25">
        <v>3.7610000000000001</v>
      </c>
      <c r="EM13" s="25">
        <v>8.3550000000000004</v>
      </c>
      <c r="EN13" s="25">
        <v>3.7610000000000001</v>
      </c>
      <c r="EO13" s="25">
        <v>8.4740000000000002</v>
      </c>
      <c r="EP13" s="25">
        <v>3.7610000000000001</v>
      </c>
      <c r="EQ13" s="25">
        <v>3.7610000000000001</v>
      </c>
      <c r="ER13" s="25">
        <v>47.548000000000002</v>
      </c>
      <c r="ES13" s="25">
        <v>13.106</v>
      </c>
      <c r="ET13" s="25">
        <v>3.7610000000000001</v>
      </c>
      <c r="EU13" s="25">
        <v>3.7610000000000001</v>
      </c>
      <c r="EV13" s="25">
        <v>3.7610000000000001</v>
      </c>
      <c r="EW13" s="25"/>
    </row>
    <row r="14" spans="1:153" ht="17.25" customHeight="1" x14ac:dyDescent="0.25">
      <c r="A14" s="25" t="s">
        <v>133</v>
      </c>
      <c r="B14" s="25">
        <v>7.8239999999999998</v>
      </c>
      <c r="C14" s="25">
        <v>6.5730000000000004</v>
      </c>
      <c r="D14" s="25">
        <v>5.7670000000000003</v>
      </c>
      <c r="E14" s="25">
        <v>4.0919999999999996</v>
      </c>
      <c r="F14" s="25">
        <v>4.03</v>
      </c>
      <c r="G14" s="25">
        <v>2.1970000000000001</v>
      </c>
      <c r="H14" s="25">
        <v>2.077</v>
      </c>
      <c r="I14" s="25">
        <v>2.9660000000000002</v>
      </c>
      <c r="J14" s="25">
        <v>3.2229999999999999</v>
      </c>
      <c r="K14" s="25">
        <v>4.2</v>
      </c>
      <c r="L14" s="25">
        <v>5.1550000000000002</v>
      </c>
      <c r="M14" s="25">
        <v>1.367</v>
      </c>
      <c r="N14" s="25">
        <v>0</v>
      </c>
      <c r="O14" s="25">
        <v>2.339</v>
      </c>
      <c r="P14" s="25">
        <v>3.6509999999999998</v>
      </c>
      <c r="Q14" s="25">
        <v>4.0209999999999999</v>
      </c>
      <c r="R14" s="25">
        <v>4.8789999999999996</v>
      </c>
      <c r="S14" s="25">
        <v>6.0380000000000003</v>
      </c>
      <c r="T14" s="25">
        <v>6.3010000000000002</v>
      </c>
      <c r="U14" s="25">
        <v>8.6259999999999994</v>
      </c>
      <c r="V14" s="25">
        <v>7.7889999999999997</v>
      </c>
      <c r="W14" s="25">
        <v>7.0620000000000003</v>
      </c>
      <c r="X14" s="25">
        <v>11.21</v>
      </c>
      <c r="Y14" s="25">
        <v>10.557</v>
      </c>
      <c r="Z14" s="25">
        <v>12.032999999999999</v>
      </c>
      <c r="AA14" s="25">
        <v>15.057</v>
      </c>
      <c r="AB14" s="25">
        <v>16.792000000000002</v>
      </c>
      <c r="AC14" s="25">
        <v>27.032</v>
      </c>
      <c r="AD14" s="25">
        <v>10.964</v>
      </c>
      <c r="AE14" s="25">
        <v>9.6969999999999992</v>
      </c>
      <c r="AF14" s="25">
        <v>7.5270000000000001</v>
      </c>
      <c r="AG14" s="25">
        <v>6.62</v>
      </c>
      <c r="AH14" s="25">
        <v>6.5730000000000004</v>
      </c>
      <c r="AI14" s="25">
        <v>2.339</v>
      </c>
      <c r="AJ14" s="25">
        <v>2.077</v>
      </c>
      <c r="AK14" s="25">
        <v>2.9660000000000002</v>
      </c>
      <c r="AL14" s="25">
        <v>4.0209999999999999</v>
      </c>
      <c r="AM14" s="25">
        <v>6.3579999999999997</v>
      </c>
      <c r="AN14" s="25">
        <v>13.606</v>
      </c>
      <c r="AO14" s="25">
        <v>2.339</v>
      </c>
      <c r="AP14" s="25">
        <v>8.0690000000000008</v>
      </c>
      <c r="AQ14" s="25">
        <v>7.133</v>
      </c>
      <c r="AR14" s="25">
        <v>2.339</v>
      </c>
      <c r="AS14" s="25">
        <v>2.339</v>
      </c>
      <c r="AT14" s="25">
        <v>2.339</v>
      </c>
      <c r="AU14" s="25">
        <v>4.3760000000000003</v>
      </c>
      <c r="AV14" s="25">
        <v>2.339</v>
      </c>
      <c r="AW14" s="25">
        <v>6.2309999999999999</v>
      </c>
      <c r="AX14" s="25">
        <v>4.1820000000000004</v>
      </c>
      <c r="AY14" s="25">
        <v>2.339</v>
      </c>
      <c r="AZ14" s="25">
        <v>0.67</v>
      </c>
      <c r="BA14" s="25">
        <v>2.339</v>
      </c>
      <c r="BB14" s="25">
        <v>3.1709999999999998</v>
      </c>
      <c r="BC14" s="25">
        <v>2.339</v>
      </c>
      <c r="BD14" s="25">
        <v>1.3560000000000001</v>
      </c>
      <c r="BE14" s="25">
        <v>2.339</v>
      </c>
      <c r="BF14" s="25">
        <v>40.164000000000001</v>
      </c>
      <c r="BG14" s="25">
        <v>2.339</v>
      </c>
      <c r="BH14" s="25">
        <v>2.339</v>
      </c>
      <c r="BI14" s="25">
        <v>28.312999999999999</v>
      </c>
      <c r="BJ14" s="25">
        <v>2.339</v>
      </c>
      <c r="BK14" s="25">
        <v>2.339</v>
      </c>
      <c r="BL14" s="25">
        <v>2.339</v>
      </c>
      <c r="BM14" s="25">
        <v>2.339</v>
      </c>
      <c r="BN14" s="25">
        <v>2.339</v>
      </c>
      <c r="BO14" s="25">
        <v>2.339</v>
      </c>
      <c r="BP14" s="25">
        <v>8.6069999999999993</v>
      </c>
      <c r="BQ14" s="25">
        <v>4.4530000000000003</v>
      </c>
      <c r="BR14" s="25">
        <v>2.339</v>
      </c>
      <c r="BS14" s="25">
        <v>2.339</v>
      </c>
      <c r="BT14" s="25">
        <v>2.339</v>
      </c>
      <c r="BU14" s="25">
        <v>10.404999999999999</v>
      </c>
      <c r="BV14" s="25">
        <v>2.339</v>
      </c>
      <c r="BW14" s="25">
        <v>2.339</v>
      </c>
      <c r="BX14" s="25">
        <v>5.8369999999999997</v>
      </c>
      <c r="BY14" s="25">
        <v>2.952</v>
      </c>
      <c r="BZ14" s="25">
        <v>4.2169999999999996</v>
      </c>
      <c r="CA14" s="25">
        <v>2.339</v>
      </c>
      <c r="CB14" s="25">
        <v>2.339</v>
      </c>
      <c r="CC14" s="25">
        <v>8.9819999999999993</v>
      </c>
      <c r="CD14" s="25">
        <v>10.557</v>
      </c>
      <c r="CE14" s="25">
        <v>2.339</v>
      </c>
      <c r="CF14" s="25">
        <v>20.370999999999999</v>
      </c>
      <c r="CG14" s="25">
        <v>28.431000000000001</v>
      </c>
      <c r="CH14" s="25">
        <v>2.339</v>
      </c>
      <c r="CI14" s="25">
        <v>2.339</v>
      </c>
      <c r="CJ14" s="25">
        <v>2.339</v>
      </c>
      <c r="CK14" s="25">
        <v>2.339</v>
      </c>
      <c r="CL14" s="25">
        <v>2.339</v>
      </c>
      <c r="CM14" s="25">
        <v>2.339</v>
      </c>
      <c r="CN14" s="25">
        <v>2.339</v>
      </c>
      <c r="CO14" s="25">
        <v>2.339</v>
      </c>
      <c r="CP14" s="25">
        <v>2.339</v>
      </c>
      <c r="CQ14" s="25">
        <v>2.339</v>
      </c>
      <c r="CR14" s="25">
        <v>2.339</v>
      </c>
      <c r="CS14" s="25">
        <v>47.012</v>
      </c>
      <c r="CT14" s="25">
        <v>2.339</v>
      </c>
      <c r="CU14" s="25">
        <v>2.339</v>
      </c>
      <c r="CV14" s="25">
        <v>4.5430000000000001</v>
      </c>
      <c r="CW14" s="25">
        <v>2.339</v>
      </c>
      <c r="CX14" s="25">
        <v>2.339</v>
      </c>
      <c r="CY14" s="25">
        <v>2.339</v>
      </c>
      <c r="CZ14" s="25">
        <v>9.6859999999999999</v>
      </c>
      <c r="DA14" s="25">
        <v>4.4210000000000003</v>
      </c>
      <c r="DB14" s="25">
        <v>14.161</v>
      </c>
      <c r="DC14" s="25">
        <v>13.494</v>
      </c>
      <c r="DD14" s="25">
        <v>5.2770000000000001</v>
      </c>
      <c r="DE14" s="25">
        <v>16.518000000000001</v>
      </c>
      <c r="DF14" s="25">
        <v>2.339</v>
      </c>
      <c r="DG14" s="25">
        <v>9.73</v>
      </c>
      <c r="DH14" s="25">
        <v>38.085000000000001</v>
      </c>
      <c r="DI14" s="25">
        <v>2.339</v>
      </c>
      <c r="DJ14" s="25">
        <v>2.339</v>
      </c>
      <c r="DK14" s="25">
        <v>4.3559999999999999</v>
      </c>
      <c r="DL14" s="25">
        <v>2.339</v>
      </c>
      <c r="DM14" s="25">
        <v>16.518000000000001</v>
      </c>
      <c r="DN14" s="25">
        <v>2.339</v>
      </c>
      <c r="DO14" s="25">
        <v>2.339</v>
      </c>
      <c r="DP14" s="25">
        <v>2.339</v>
      </c>
      <c r="DQ14" s="25">
        <v>2.339</v>
      </c>
      <c r="DR14" s="25">
        <v>2.339</v>
      </c>
      <c r="DS14" s="25">
        <v>2.339</v>
      </c>
      <c r="DT14" s="25">
        <v>2.339</v>
      </c>
      <c r="DU14" s="25">
        <v>7.8239999999999998</v>
      </c>
      <c r="DV14" s="25">
        <v>2.339</v>
      </c>
      <c r="DW14" s="25">
        <v>9.734</v>
      </c>
      <c r="DX14" s="25">
        <v>16.579999999999998</v>
      </c>
      <c r="DY14" s="25">
        <v>2.339</v>
      </c>
      <c r="DZ14" s="25">
        <v>16.844999999999999</v>
      </c>
      <c r="EA14" s="25">
        <v>2.339</v>
      </c>
      <c r="EB14" s="25">
        <v>9.7010000000000005</v>
      </c>
      <c r="EC14" s="25">
        <v>2.339</v>
      </c>
      <c r="ED14" s="25">
        <v>2.339</v>
      </c>
      <c r="EE14" s="25">
        <v>2.339</v>
      </c>
      <c r="EF14" s="25">
        <v>2.339</v>
      </c>
      <c r="EG14" s="25">
        <v>8.9580000000000002</v>
      </c>
      <c r="EH14" s="25">
        <v>7.3239999999999998</v>
      </c>
      <c r="EI14" s="25">
        <v>2.339</v>
      </c>
      <c r="EJ14" s="25">
        <v>4.0209999999999999</v>
      </c>
      <c r="EK14" s="25">
        <v>2.339</v>
      </c>
      <c r="EL14" s="25">
        <v>2.339</v>
      </c>
      <c r="EM14" s="25">
        <v>7.0119999999999996</v>
      </c>
      <c r="EN14" s="25">
        <v>2.339</v>
      </c>
      <c r="EO14" s="25">
        <v>7.125</v>
      </c>
      <c r="EP14" s="25">
        <v>2.339</v>
      </c>
      <c r="EQ14" s="25">
        <v>2.339</v>
      </c>
      <c r="ER14" s="25">
        <v>46.198999999999998</v>
      </c>
      <c r="ES14" s="25">
        <v>11.753</v>
      </c>
      <c r="ET14" s="25">
        <v>2.339</v>
      </c>
      <c r="EU14" s="25">
        <v>2.339</v>
      </c>
      <c r="EV14" s="25">
        <v>2.339</v>
      </c>
      <c r="EW14" s="25"/>
    </row>
    <row r="15" spans="1:153" ht="17.25" customHeight="1" x14ac:dyDescent="0.25">
      <c r="A15" s="25" t="s">
        <v>134</v>
      </c>
      <c r="B15" s="25">
        <v>5.6050000000000004</v>
      </c>
      <c r="C15" s="25">
        <v>4.3540000000000001</v>
      </c>
      <c r="D15" s="25">
        <v>3.742</v>
      </c>
      <c r="E15" s="25">
        <v>2.355</v>
      </c>
      <c r="F15" s="25">
        <v>2.4649999999999999</v>
      </c>
      <c r="G15" s="25">
        <v>0.46</v>
      </c>
      <c r="H15" s="25">
        <v>0.29399999999999998</v>
      </c>
      <c r="I15" s="25">
        <v>1.5660000000000001</v>
      </c>
      <c r="J15" s="25">
        <v>1.8340000000000001</v>
      </c>
      <c r="K15" s="25">
        <v>2.8119999999999998</v>
      </c>
      <c r="L15" s="25">
        <v>3.7679999999999998</v>
      </c>
      <c r="M15" s="25">
        <v>3.718</v>
      </c>
      <c r="N15" s="25">
        <v>2.35</v>
      </c>
      <c r="O15" s="25">
        <v>0</v>
      </c>
      <c r="P15" s="25">
        <v>1.327</v>
      </c>
      <c r="Q15" s="25">
        <v>2.1219999999999999</v>
      </c>
      <c r="R15" s="25">
        <v>2.98</v>
      </c>
      <c r="S15" s="25">
        <v>4.2060000000000004</v>
      </c>
      <c r="T15" s="25">
        <v>4.4690000000000003</v>
      </c>
      <c r="U15" s="25">
        <v>6.7939999999999996</v>
      </c>
      <c r="V15" s="25">
        <v>5.9569999999999999</v>
      </c>
      <c r="W15" s="25">
        <v>5.23</v>
      </c>
      <c r="X15" s="25">
        <v>9.8219999999999992</v>
      </c>
      <c r="Y15" s="25">
        <v>10.385999999999999</v>
      </c>
      <c r="Z15" s="25">
        <v>11.862</v>
      </c>
      <c r="AA15" s="25">
        <v>16.582000000000001</v>
      </c>
      <c r="AB15" s="25">
        <v>18.317</v>
      </c>
      <c r="AC15" s="25">
        <v>25.2</v>
      </c>
      <c r="AD15" s="25">
        <v>9.5760000000000005</v>
      </c>
      <c r="AE15" s="25">
        <v>7.3620000000000001</v>
      </c>
      <c r="AF15" s="25">
        <v>6.1390000000000002</v>
      </c>
      <c r="AG15" s="25">
        <v>5.2320000000000002</v>
      </c>
      <c r="AH15" s="25">
        <v>4.3540000000000001</v>
      </c>
      <c r="AI15" s="25">
        <v>0</v>
      </c>
      <c r="AJ15" s="25">
        <v>0.29399999999999998</v>
      </c>
      <c r="AK15" s="25">
        <v>1.5660000000000001</v>
      </c>
      <c r="AL15" s="25">
        <v>2.1219999999999999</v>
      </c>
      <c r="AM15" s="25">
        <v>4.97</v>
      </c>
      <c r="AN15" s="25">
        <v>11.773999999999999</v>
      </c>
      <c r="AO15" s="25">
        <v>0</v>
      </c>
      <c r="AP15" s="25">
        <v>7.8979999999999997</v>
      </c>
      <c r="AQ15" s="25">
        <v>4.8360000000000003</v>
      </c>
      <c r="AR15" s="25">
        <v>0</v>
      </c>
      <c r="AS15" s="25">
        <v>0</v>
      </c>
      <c r="AT15" s="25">
        <v>0</v>
      </c>
      <c r="AU15" s="25">
        <v>4.3250000000000002</v>
      </c>
      <c r="AV15" s="25">
        <v>0</v>
      </c>
      <c r="AW15" s="25">
        <v>3.9079999999999999</v>
      </c>
      <c r="AX15" s="25">
        <v>6.532</v>
      </c>
      <c r="AY15" s="25">
        <v>0</v>
      </c>
      <c r="AZ15" s="25">
        <v>1.899</v>
      </c>
      <c r="BA15" s="25">
        <v>0</v>
      </c>
      <c r="BB15" s="25">
        <v>1.3979999999999999</v>
      </c>
      <c r="BC15" s="25">
        <v>0</v>
      </c>
      <c r="BD15" s="25">
        <v>1.323</v>
      </c>
      <c r="BE15" s="25">
        <v>0</v>
      </c>
      <c r="BF15" s="25">
        <v>38.332000000000001</v>
      </c>
      <c r="BG15" s="25">
        <v>0</v>
      </c>
      <c r="BH15" s="25">
        <v>0</v>
      </c>
      <c r="BI15" s="25">
        <v>26.510999999999999</v>
      </c>
      <c r="BJ15" s="25">
        <v>0</v>
      </c>
      <c r="BK15" s="25">
        <v>0</v>
      </c>
      <c r="BL15" s="25">
        <v>0</v>
      </c>
      <c r="BM15" s="25">
        <v>0</v>
      </c>
      <c r="BN15" s="25">
        <v>0</v>
      </c>
      <c r="BO15" s="25">
        <v>0</v>
      </c>
      <c r="BP15" s="25">
        <v>6.7750000000000004</v>
      </c>
      <c r="BQ15" s="25">
        <v>2.7160000000000002</v>
      </c>
      <c r="BR15" s="25">
        <v>0</v>
      </c>
      <c r="BS15" s="25">
        <v>0</v>
      </c>
      <c r="BT15" s="25">
        <v>0</v>
      </c>
      <c r="BU15" s="25">
        <v>8.5730000000000004</v>
      </c>
      <c r="BV15" s="25">
        <v>0</v>
      </c>
      <c r="BW15" s="25">
        <v>0</v>
      </c>
      <c r="BX15" s="25">
        <v>4.8630000000000004</v>
      </c>
      <c r="BY15" s="25">
        <v>1.661</v>
      </c>
      <c r="BZ15" s="25">
        <v>2.48</v>
      </c>
      <c r="CA15" s="25">
        <v>0</v>
      </c>
      <c r="CB15" s="25">
        <v>0</v>
      </c>
      <c r="CC15" s="25">
        <v>8.5419999999999998</v>
      </c>
      <c r="CD15" s="25">
        <v>10.385999999999999</v>
      </c>
      <c r="CE15" s="25">
        <v>0</v>
      </c>
      <c r="CF15" s="25">
        <v>18.539000000000001</v>
      </c>
      <c r="CG15" s="25">
        <v>26.599</v>
      </c>
      <c r="CH15" s="25">
        <v>0</v>
      </c>
      <c r="CI15" s="25">
        <v>0</v>
      </c>
      <c r="CJ15" s="25">
        <v>0</v>
      </c>
      <c r="CK15" s="25">
        <v>0</v>
      </c>
      <c r="CL15" s="25">
        <v>0</v>
      </c>
      <c r="CM15" s="25">
        <v>0</v>
      </c>
      <c r="CN15" s="25">
        <v>0</v>
      </c>
      <c r="CO15" s="25">
        <v>0</v>
      </c>
      <c r="CP15" s="25">
        <v>0</v>
      </c>
      <c r="CQ15" s="25">
        <v>0</v>
      </c>
      <c r="CR15" s="25">
        <v>0</v>
      </c>
      <c r="CS15" s="25">
        <v>45.210999999999999</v>
      </c>
      <c r="CT15" s="25">
        <v>0</v>
      </c>
      <c r="CU15" s="25">
        <v>0</v>
      </c>
      <c r="CV15" s="25">
        <v>3.0449999999999999</v>
      </c>
      <c r="CW15" s="25">
        <v>0</v>
      </c>
      <c r="CX15" s="25">
        <v>0</v>
      </c>
      <c r="CY15" s="25">
        <v>0</v>
      </c>
      <c r="CZ15" s="25">
        <v>7.8540000000000001</v>
      </c>
      <c r="DA15" s="25">
        <v>2.0979999999999999</v>
      </c>
      <c r="DB15" s="25">
        <v>13.99</v>
      </c>
      <c r="DC15" s="25">
        <v>13.323</v>
      </c>
      <c r="DD15" s="25">
        <v>3.762</v>
      </c>
      <c r="DE15" s="25">
        <v>16.651</v>
      </c>
      <c r="DF15" s="25">
        <v>0</v>
      </c>
      <c r="DG15" s="25">
        <v>7.407</v>
      </c>
      <c r="DH15" s="25">
        <v>36.253</v>
      </c>
      <c r="DI15" s="25">
        <v>0</v>
      </c>
      <c r="DJ15" s="25">
        <v>0</v>
      </c>
      <c r="DK15" s="25">
        <v>2.4380000000000002</v>
      </c>
      <c r="DL15" s="25">
        <v>0</v>
      </c>
      <c r="DM15" s="25">
        <v>16.651</v>
      </c>
      <c r="DN15" s="25">
        <v>0</v>
      </c>
      <c r="DO15" s="25">
        <v>0</v>
      </c>
      <c r="DP15" s="25">
        <v>0</v>
      </c>
      <c r="DQ15" s="25">
        <v>0</v>
      </c>
      <c r="DR15" s="25">
        <v>0</v>
      </c>
      <c r="DS15" s="25">
        <v>0</v>
      </c>
      <c r="DT15" s="25">
        <v>0</v>
      </c>
      <c r="DU15" s="25">
        <v>5.5010000000000003</v>
      </c>
      <c r="DV15" s="25">
        <v>0</v>
      </c>
      <c r="DW15" s="25">
        <v>8.3460000000000001</v>
      </c>
      <c r="DX15" s="25">
        <v>14.747999999999999</v>
      </c>
      <c r="DY15" s="25">
        <v>0</v>
      </c>
      <c r="DZ15" s="25">
        <v>15.013</v>
      </c>
      <c r="EA15" s="25">
        <v>0</v>
      </c>
      <c r="EB15" s="25">
        <v>7.3780000000000001</v>
      </c>
      <c r="EC15" s="25">
        <v>0</v>
      </c>
      <c r="ED15" s="25">
        <v>0</v>
      </c>
      <c r="EE15" s="25">
        <v>0</v>
      </c>
      <c r="EF15" s="25">
        <v>0</v>
      </c>
      <c r="EG15" s="25">
        <v>6.6349999999999998</v>
      </c>
      <c r="EH15" s="25">
        <v>7.3650000000000002</v>
      </c>
      <c r="EI15" s="25">
        <v>0</v>
      </c>
      <c r="EJ15" s="25">
        <v>2.1219999999999999</v>
      </c>
      <c r="EK15" s="25">
        <v>0</v>
      </c>
      <c r="EL15" s="25">
        <v>0</v>
      </c>
      <c r="EM15" s="25">
        <v>5.1740000000000004</v>
      </c>
      <c r="EN15" s="25">
        <v>0</v>
      </c>
      <c r="EO15" s="25">
        <v>5.2930000000000001</v>
      </c>
      <c r="EP15" s="25">
        <v>0</v>
      </c>
      <c r="EQ15" s="25">
        <v>0</v>
      </c>
      <c r="ER15" s="25">
        <v>44.366999999999997</v>
      </c>
      <c r="ES15" s="25">
        <v>10.365</v>
      </c>
      <c r="ET15" s="25">
        <v>0</v>
      </c>
      <c r="EU15" s="25">
        <v>0</v>
      </c>
      <c r="EV15" s="25">
        <v>0</v>
      </c>
      <c r="EW15" s="25"/>
    </row>
    <row r="16" spans="1:153" ht="17.25" customHeight="1" x14ac:dyDescent="0.25">
      <c r="A16" s="25" t="s">
        <v>135</v>
      </c>
      <c r="B16" s="25">
        <v>5.9690000000000003</v>
      </c>
      <c r="C16" s="25">
        <v>4.718</v>
      </c>
      <c r="D16" s="25">
        <v>4.1059999999999999</v>
      </c>
      <c r="E16" s="25">
        <v>2.7189999999999999</v>
      </c>
      <c r="F16" s="25">
        <v>2.8290000000000002</v>
      </c>
      <c r="G16" s="25">
        <v>0.84099999999999997</v>
      </c>
      <c r="H16" s="25">
        <v>1.5960000000000001</v>
      </c>
      <c r="I16" s="25">
        <v>2.8679999999999999</v>
      </c>
      <c r="J16" s="25">
        <v>3.1360000000000001</v>
      </c>
      <c r="K16" s="25">
        <v>3.536</v>
      </c>
      <c r="L16" s="25">
        <v>4.5739999999999998</v>
      </c>
      <c r="M16" s="25">
        <v>4.4279999999999999</v>
      </c>
      <c r="N16" s="25">
        <v>3.0339999999999998</v>
      </c>
      <c r="O16" s="25">
        <v>1.2529999999999999</v>
      </c>
      <c r="P16" s="25">
        <v>0</v>
      </c>
      <c r="Q16" s="25">
        <v>1.105</v>
      </c>
      <c r="R16" s="25">
        <v>2.1619999999999999</v>
      </c>
      <c r="S16" s="25">
        <v>3.2410000000000001</v>
      </c>
      <c r="T16" s="25">
        <v>3.504</v>
      </c>
      <c r="U16" s="25">
        <v>5.8289999999999997</v>
      </c>
      <c r="V16" s="25">
        <v>4.992</v>
      </c>
      <c r="W16" s="25">
        <v>4.2649999999999997</v>
      </c>
      <c r="X16" s="25">
        <v>12.696</v>
      </c>
      <c r="Y16" s="25">
        <v>11.007999999999999</v>
      </c>
      <c r="Z16" s="25">
        <v>12.484</v>
      </c>
      <c r="AA16" s="25">
        <v>15.617000000000001</v>
      </c>
      <c r="AB16" s="25">
        <v>17.352</v>
      </c>
      <c r="AC16" s="25">
        <v>24.234999999999999</v>
      </c>
      <c r="AD16" s="25">
        <v>12.45</v>
      </c>
      <c r="AE16" s="25">
        <v>7.726</v>
      </c>
      <c r="AF16" s="25">
        <v>9.0299999999999994</v>
      </c>
      <c r="AG16" s="25">
        <v>6.0380000000000003</v>
      </c>
      <c r="AH16" s="25">
        <v>4.718</v>
      </c>
      <c r="AI16" s="25">
        <v>1.2529999999999999</v>
      </c>
      <c r="AJ16" s="25">
        <v>1.5960000000000001</v>
      </c>
      <c r="AK16" s="25">
        <v>2.8679999999999999</v>
      </c>
      <c r="AL16" s="25">
        <v>1.105</v>
      </c>
      <c r="AM16" s="25">
        <v>5.7759999999999998</v>
      </c>
      <c r="AN16" s="25">
        <v>10.808999999999999</v>
      </c>
      <c r="AO16" s="25">
        <v>1.2529999999999999</v>
      </c>
      <c r="AP16" s="25">
        <v>7.3540000000000001</v>
      </c>
      <c r="AQ16" s="25">
        <v>5.0780000000000003</v>
      </c>
      <c r="AR16" s="25">
        <v>1.2529999999999999</v>
      </c>
      <c r="AS16" s="25">
        <v>1.2529999999999999</v>
      </c>
      <c r="AT16" s="25">
        <v>1.2529999999999999</v>
      </c>
      <c r="AU16" s="25">
        <v>4.9480000000000004</v>
      </c>
      <c r="AV16" s="25">
        <v>1.2529999999999999</v>
      </c>
      <c r="AW16" s="25">
        <v>3.0640000000000001</v>
      </c>
      <c r="AX16" s="25">
        <v>7.2080000000000002</v>
      </c>
      <c r="AY16" s="25">
        <v>1.2529999999999999</v>
      </c>
      <c r="AZ16" s="25">
        <v>3.2010000000000001</v>
      </c>
      <c r="BA16" s="25">
        <v>1.2529999999999999</v>
      </c>
      <c r="BB16" s="25">
        <v>0.374</v>
      </c>
      <c r="BC16" s="25">
        <v>1.2529999999999999</v>
      </c>
      <c r="BD16" s="25">
        <v>2.625</v>
      </c>
      <c r="BE16" s="25">
        <v>1.2529999999999999</v>
      </c>
      <c r="BF16" s="25">
        <v>37.366999999999997</v>
      </c>
      <c r="BG16" s="25">
        <v>1.2529999999999999</v>
      </c>
      <c r="BH16" s="25">
        <v>1.2529999999999999</v>
      </c>
      <c r="BI16" s="25">
        <v>25.545999999999999</v>
      </c>
      <c r="BJ16" s="25">
        <v>1.2529999999999999</v>
      </c>
      <c r="BK16" s="25">
        <v>1.2529999999999999</v>
      </c>
      <c r="BL16" s="25">
        <v>1.2529999999999999</v>
      </c>
      <c r="BM16" s="25">
        <v>1.2529999999999999</v>
      </c>
      <c r="BN16" s="25">
        <v>1.2529999999999999</v>
      </c>
      <c r="BO16" s="25">
        <v>1.2529999999999999</v>
      </c>
      <c r="BP16" s="25">
        <v>5.81</v>
      </c>
      <c r="BQ16" s="25">
        <v>3.08</v>
      </c>
      <c r="BR16" s="25">
        <v>1.2529999999999999</v>
      </c>
      <c r="BS16" s="25">
        <v>1.2529999999999999</v>
      </c>
      <c r="BT16" s="25">
        <v>1.2529999999999999</v>
      </c>
      <c r="BU16" s="25">
        <v>7.6079999999999997</v>
      </c>
      <c r="BV16" s="25">
        <v>1.2529999999999999</v>
      </c>
      <c r="BW16" s="25">
        <v>1.2529999999999999</v>
      </c>
      <c r="BX16" s="25">
        <v>4.6150000000000002</v>
      </c>
      <c r="BY16" s="25">
        <v>2.0249999999999999</v>
      </c>
      <c r="BZ16" s="25">
        <v>2.8439999999999999</v>
      </c>
      <c r="CA16" s="25">
        <v>1.2529999999999999</v>
      </c>
      <c r="CB16" s="25">
        <v>1.2529999999999999</v>
      </c>
      <c r="CC16" s="25">
        <v>9.1639999999999997</v>
      </c>
      <c r="CD16" s="25">
        <v>11.007999999999999</v>
      </c>
      <c r="CE16" s="25">
        <v>1.2529999999999999</v>
      </c>
      <c r="CF16" s="25">
        <v>17.574000000000002</v>
      </c>
      <c r="CG16" s="25">
        <v>25.634</v>
      </c>
      <c r="CH16" s="25">
        <v>1.2529999999999999</v>
      </c>
      <c r="CI16" s="25">
        <v>1.2529999999999999</v>
      </c>
      <c r="CJ16" s="25">
        <v>1.2529999999999999</v>
      </c>
      <c r="CK16" s="25">
        <v>1.2529999999999999</v>
      </c>
      <c r="CL16" s="25">
        <v>1.2529999999999999</v>
      </c>
      <c r="CM16" s="25">
        <v>1.2529999999999999</v>
      </c>
      <c r="CN16" s="25">
        <v>1.2529999999999999</v>
      </c>
      <c r="CO16" s="25">
        <v>1.2529999999999999</v>
      </c>
      <c r="CP16" s="25">
        <v>1.2529999999999999</v>
      </c>
      <c r="CQ16" s="25">
        <v>1.2529999999999999</v>
      </c>
      <c r="CR16" s="25">
        <v>1.2529999999999999</v>
      </c>
      <c r="CS16" s="25">
        <v>44.246000000000002</v>
      </c>
      <c r="CT16" s="25">
        <v>1.2529999999999999</v>
      </c>
      <c r="CU16" s="25">
        <v>1.2529999999999999</v>
      </c>
      <c r="CV16" s="25">
        <v>2.7970000000000002</v>
      </c>
      <c r="CW16" s="25">
        <v>1.2529999999999999</v>
      </c>
      <c r="CX16" s="25">
        <v>1.2529999999999999</v>
      </c>
      <c r="CY16" s="25">
        <v>1.2529999999999999</v>
      </c>
      <c r="CZ16" s="25">
        <v>6.8890000000000002</v>
      </c>
      <c r="DA16" s="25">
        <v>1.194</v>
      </c>
      <c r="DB16" s="25">
        <v>14.612</v>
      </c>
      <c r="DC16" s="25">
        <v>13.945</v>
      </c>
      <c r="DD16" s="25">
        <v>4.1260000000000003</v>
      </c>
      <c r="DE16" s="25">
        <v>19.350000000000001</v>
      </c>
      <c r="DF16" s="25">
        <v>1.2529999999999999</v>
      </c>
      <c r="DG16" s="25">
        <v>6.5629999999999997</v>
      </c>
      <c r="DH16" s="25">
        <v>35.287999999999997</v>
      </c>
      <c r="DI16" s="25">
        <v>1.2529999999999999</v>
      </c>
      <c r="DJ16" s="25">
        <v>1.2529999999999999</v>
      </c>
      <c r="DK16" s="25">
        <v>1.7549999999999999</v>
      </c>
      <c r="DL16" s="25">
        <v>1.2529999999999999</v>
      </c>
      <c r="DM16" s="25">
        <v>19.350000000000001</v>
      </c>
      <c r="DN16" s="25">
        <v>1.2529999999999999</v>
      </c>
      <c r="DO16" s="25">
        <v>1.2529999999999999</v>
      </c>
      <c r="DP16" s="25">
        <v>1.2529999999999999</v>
      </c>
      <c r="DQ16" s="25">
        <v>1.2529999999999999</v>
      </c>
      <c r="DR16" s="25">
        <v>1.2529999999999999</v>
      </c>
      <c r="DS16" s="25">
        <v>1.2529999999999999</v>
      </c>
      <c r="DT16" s="25">
        <v>1.2529999999999999</v>
      </c>
      <c r="DU16" s="25">
        <v>4.657</v>
      </c>
      <c r="DV16" s="25">
        <v>1.2529999999999999</v>
      </c>
      <c r="DW16" s="25">
        <v>11.22</v>
      </c>
      <c r="DX16" s="25">
        <v>13.782999999999999</v>
      </c>
      <c r="DY16" s="25">
        <v>1.2529999999999999</v>
      </c>
      <c r="DZ16" s="25">
        <v>14.048</v>
      </c>
      <c r="EA16" s="25">
        <v>1.2529999999999999</v>
      </c>
      <c r="EB16" s="25">
        <v>6.5339999999999998</v>
      </c>
      <c r="EC16" s="25">
        <v>1.2529999999999999</v>
      </c>
      <c r="ED16" s="25">
        <v>1.2529999999999999</v>
      </c>
      <c r="EE16" s="25">
        <v>1.2529999999999999</v>
      </c>
      <c r="EF16" s="25">
        <v>1.2529999999999999</v>
      </c>
      <c r="EG16" s="25">
        <v>5.7910000000000004</v>
      </c>
      <c r="EH16" s="25">
        <v>8.1140000000000008</v>
      </c>
      <c r="EI16" s="25">
        <v>1.2529999999999999</v>
      </c>
      <c r="EJ16" s="25">
        <v>1.105</v>
      </c>
      <c r="EK16" s="25">
        <v>1.2529999999999999</v>
      </c>
      <c r="EL16" s="25">
        <v>1.2529999999999999</v>
      </c>
      <c r="EM16" s="25">
        <v>4.2089999999999996</v>
      </c>
      <c r="EN16" s="25">
        <v>1.2529999999999999</v>
      </c>
      <c r="EO16" s="25">
        <v>4.3280000000000003</v>
      </c>
      <c r="EP16" s="25">
        <v>1.2529999999999999</v>
      </c>
      <c r="EQ16" s="25">
        <v>1.2529999999999999</v>
      </c>
      <c r="ER16" s="25">
        <v>43.402000000000001</v>
      </c>
      <c r="ES16" s="25">
        <v>13.239000000000001</v>
      </c>
      <c r="ET16" s="25">
        <v>1.2529999999999999</v>
      </c>
      <c r="EU16" s="25">
        <v>1.2529999999999999</v>
      </c>
      <c r="EV16" s="25">
        <v>1.2529999999999999</v>
      </c>
      <c r="EW16" s="25"/>
    </row>
    <row r="17" spans="1:153" ht="17.25" customHeight="1" x14ac:dyDescent="0.25">
      <c r="A17" s="25" t="s">
        <v>136</v>
      </c>
      <c r="B17" s="25">
        <v>6.8360000000000003</v>
      </c>
      <c r="C17" s="25">
        <v>5.4930000000000003</v>
      </c>
      <c r="D17" s="25">
        <v>4.8550000000000004</v>
      </c>
      <c r="E17" s="25">
        <v>3.4940000000000002</v>
      </c>
      <c r="F17" s="25">
        <v>2.8079999999999998</v>
      </c>
      <c r="G17" s="25">
        <v>1.6240000000000001</v>
      </c>
      <c r="H17" s="25">
        <v>2.1150000000000002</v>
      </c>
      <c r="I17" s="25">
        <v>3.226</v>
      </c>
      <c r="J17" s="25">
        <v>3.4369999999999998</v>
      </c>
      <c r="K17" s="25">
        <v>3.7709999999999999</v>
      </c>
      <c r="L17" s="25">
        <v>4.8090000000000002</v>
      </c>
      <c r="M17" s="25">
        <v>5.21</v>
      </c>
      <c r="N17" s="25">
        <v>3.8159999999999998</v>
      </c>
      <c r="O17" s="25">
        <v>1.82</v>
      </c>
      <c r="P17" s="25">
        <v>0.78200000000000003</v>
      </c>
      <c r="Q17" s="25">
        <v>0</v>
      </c>
      <c r="R17" s="25">
        <v>1.645</v>
      </c>
      <c r="S17" s="25">
        <v>2.7240000000000002</v>
      </c>
      <c r="T17" s="25">
        <v>2.9870000000000001</v>
      </c>
      <c r="U17" s="25">
        <v>5.3120000000000003</v>
      </c>
      <c r="V17" s="25">
        <v>4.4749999999999996</v>
      </c>
      <c r="W17" s="25">
        <v>3.7480000000000002</v>
      </c>
      <c r="X17" s="25">
        <v>12.179</v>
      </c>
      <c r="Y17" s="25">
        <v>13.933</v>
      </c>
      <c r="Z17" s="25">
        <v>15.407999999999999</v>
      </c>
      <c r="AA17" s="25">
        <v>15.1</v>
      </c>
      <c r="AB17" s="25">
        <v>16.835000000000001</v>
      </c>
      <c r="AC17" s="25">
        <v>23.718</v>
      </c>
      <c r="AD17" s="25">
        <v>11.933</v>
      </c>
      <c r="AE17" s="25">
        <v>9.5790000000000006</v>
      </c>
      <c r="AF17" s="25">
        <v>8.5129999999999999</v>
      </c>
      <c r="AG17" s="25">
        <v>8.8019999999999996</v>
      </c>
      <c r="AH17" s="25">
        <v>5.4930000000000003</v>
      </c>
      <c r="AI17" s="25">
        <v>1.82</v>
      </c>
      <c r="AJ17" s="25">
        <v>2.1150000000000002</v>
      </c>
      <c r="AK17" s="25">
        <v>3.226</v>
      </c>
      <c r="AL17" s="25">
        <v>0</v>
      </c>
      <c r="AM17" s="25">
        <v>8.6050000000000004</v>
      </c>
      <c r="AN17" s="25">
        <v>10.292</v>
      </c>
      <c r="AO17" s="25">
        <v>1.82</v>
      </c>
      <c r="AP17" s="25">
        <v>12.319000000000001</v>
      </c>
      <c r="AQ17" s="25">
        <v>4.806</v>
      </c>
      <c r="AR17" s="25">
        <v>1.82</v>
      </c>
      <c r="AS17" s="25">
        <v>1.82</v>
      </c>
      <c r="AT17" s="25">
        <v>1.82</v>
      </c>
      <c r="AU17" s="25">
        <v>5.8440000000000003</v>
      </c>
      <c r="AV17" s="25">
        <v>1.82</v>
      </c>
      <c r="AW17" s="25">
        <v>2.7919999999999998</v>
      </c>
      <c r="AX17" s="25">
        <v>7.99</v>
      </c>
      <c r="AY17" s="25">
        <v>1.82</v>
      </c>
      <c r="AZ17" s="25">
        <v>3.72</v>
      </c>
      <c r="BA17" s="25">
        <v>1.82</v>
      </c>
      <c r="BB17" s="25">
        <v>0.88500000000000001</v>
      </c>
      <c r="BC17" s="25">
        <v>1.82</v>
      </c>
      <c r="BD17" s="25">
        <v>3.1440000000000001</v>
      </c>
      <c r="BE17" s="25">
        <v>1.82</v>
      </c>
      <c r="BF17" s="25">
        <v>36.85</v>
      </c>
      <c r="BG17" s="25">
        <v>1.82</v>
      </c>
      <c r="BH17" s="25">
        <v>1.82</v>
      </c>
      <c r="BI17" s="25">
        <v>25.029</v>
      </c>
      <c r="BJ17" s="25">
        <v>1.82</v>
      </c>
      <c r="BK17" s="25">
        <v>1.82</v>
      </c>
      <c r="BL17" s="25">
        <v>1.82</v>
      </c>
      <c r="BM17" s="25">
        <v>1.82</v>
      </c>
      <c r="BN17" s="25">
        <v>1.82</v>
      </c>
      <c r="BO17" s="25">
        <v>1.82</v>
      </c>
      <c r="BP17" s="25">
        <v>5.2930000000000001</v>
      </c>
      <c r="BQ17" s="25">
        <v>2.7010000000000001</v>
      </c>
      <c r="BR17" s="25">
        <v>1.82</v>
      </c>
      <c r="BS17" s="25">
        <v>1.82</v>
      </c>
      <c r="BT17" s="25">
        <v>1.82</v>
      </c>
      <c r="BU17" s="25">
        <v>6.6740000000000004</v>
      </c>
      <c r="BV17" s="25">
        <v>1.82</v>
      </c>
      <c r="BW17" s="25">
        <v>1.82</v>
      </c>
      <c r="BX17" s="25">
        <v>4.4059999999999997</v>
      </c>
      <c r="BY17" s="25">
        <v>2.8260000000000001</v>
      </c>
      <c r="BZ17" s="25">
        <v>2.7389999999999999</v>
      </c>
      <c r="CA17" s="25">
        <v>1.82</v>
      </c>
      <c r="CB17" s="25">
        <v>1.82</v>
      </c>
      <c r="CC17" s="25">
        <v>13.028</v>
      </c>
      <c r="CD17" s="25">
        <v>13.933</v>
      </c>
      <c r="CE17" s="25">
        <v>1.82</v>
      </c>
      <c r="CF17" s="25">
        <v>17.056999999999999</v>
      </c>
      <c r="CG17" s="25">
        <v>25.117000000000001</v>
      </c>
      <c r="CH17" s="25">
        <v>1.82</v>
      </c>
      <c r="CI17" s="25">
        <v>1.82</v>
      </c>
      <c r="CJ17" s="25">
        <v>1.82</v>
      </c>
      <c r="CK17" s="25">
        <v>1.82</v>
      </c>
      <c r="CL17" s="25">
        <v>1.82</v>
      </c>
      <c r="CM17" s="25">
        <v>1.82</v>
      </c>
      <c r="CN17" s="25">
        <v>1.82</v>
      </c>
      <c r="CO17" s="25">
        <v>1.82</v>
      </c>
      <c r="CP17" s="25">
        <v>1.82</v>
      </c>
      <c r="CQ17" s="25">
        <v>1.82</v>
      </c>
      <c r="CR17" s="25">
        <v>1.82</v>
      </c>
      <c r="CS17" s="25">
        <v>43.728999999999999</v>
      </c>
      <c r="CT17" s="25">
        <v>1.82</v>
      </c>
      <c r="CU17" s="25">
        <v>1.82</v>
      </c>
      <c r="CV17" s="25">
        <v>2.4889999999999999</v>
      </c>
      <c r="CW17" s="25">
        <v>1.82</v>
      </c>
      <c r="CX17" s="25">
        <v>1.82</v>
      </c>
      <c r="CY17" s="25">
        <v>1.82</v>
      </c>
      <c r="CZ17" s="25">
        <v>5.9550000000000001</v>
      </c>
      <c r="DA17" s="25">
        <v>0.98199999999999998</v>
      </c>
      <c r="DB17" s="25">
        <v>17.536000000000001</v>
      </c>
      <c r="DC17" s="25">
        <v>16.869</v>
      </c>
      <c r="DD17" s="25">
        <v>4.9009999999999998</v>
      </c>
      <c r="DE17" s="25">
        <v>18.832999999999998</v>
      </c>
      <c r="DF17" s="25">
        <v>1.82</v>
      </c>
      <c r="DG17" s="25">
        <v>6.2910000000000004</v>
      </c>
      <c r="DH17" s="25">
        <v>34.771000000000001</v>
      </c>
      <c r="DI17" s="25">
        <v>1.82</v>
      </c>
      <c r="DJ17" s="25">
        <v>1.82</v>
      </c>
      <c r="DK17" s="25">
        <v>1.1930000000000001</v>
      </c>
      <c r="DL17" s="25">
        <v>1.82</v>
      </c>
      <c r="DM17" s="25">
        <v>18.832999999999998</v>
      </c>
      <c r="DN17" s="25">
        <v>1.82</v>
      </c>
      <c r="DO17" s="25">
        <v>1.82</v>
      </c>
      <c r="DP17" s="25">
        <v>1.82</v>
      </c>
      <c r="DQ17" s="25">
        <v>1.82</v>
      </c>
      <c r="DR17" s="25">
        <v>1.82</v>
      </c>
      <c r="DS17" s="25">
        <v>1.82</v>
      </c>
      <c r="DT17" s="25">
        <v>1.82</v>
      </c>
      <c r="DU17" s="25">
        <v>4.3849999999999998</v>
      </c>
      <c r="DV17" s="25">
        <v>1.82</v>
      </c>
      <c r="DW17" s="25">
        <v>10.702999999999999</v>
      </c>
      <c r="DX17" s="25">
        <v>13.266</v>
      </c>
      <c r="DY17" s="25">
        <v>1.82</v>
      </c>
      <c r="DZ17" s="25">
        <v>13.531000000000001</v>
      </c>
      <c r="EA17" s="25">
        <v>1.82</v>
      </c>
      <c r="EB17" s="25">
        <v>6.2619999999999996</v>
      </c>
      <c r="EC17" s="25">
        <v>1.82</v>
      </c>
      <c r="ED17" s="25">
        <v>1.82</v>
      </c>
      <c r="EE17" s="25">
        <v>1.82</v>
      </c>
      <c r="EF17" s="25">
        <v>1.82</v>
      </c>
      <c r="EG17" s="25">
        <v>5.5190000000000001</v>
      </c>
      <c r="EH17" s="25">
        <v>8.3490000000000002</v>
      </c>
      <c r="EI17" s="25">
        <v>1.82</v>
      </c>
      <c r="EJ17" s="25">
        <v>0</v>
      </c>
      <c r="EK17" s="25">
        <v>1.82</v>
      </c>
      <c r="EL17" s="25">
        <v>1.82</v>
      </c>
      <c r="EM17" s="25">
        <v>3.6920000000000002</v>
      </c>
      <c r="EN17" s="25">
        <v>1.82</v>
      </c>
      <c r="EO17" s="25">
        <v>3.3940000000000001</v>
      </c>
      <c r="EP17" s="25">
        <v>1.82</v>
      </c>
      <c r="EQ17" s="25">
        <v>1.82</v>
      </c>
      <c r="ER17" s="25">
        <v>42.884999999999998</v>
      </c>
      <c r="ES17" s="25">
        <v>12.722</v>
      </c>
      <c r="ET17" s="25">
        <v>1.82</v>
      </c>
      <c r="EU17" s="25">
        <v>1.82</v>
      </c>
      <c r="EV17" s="25">
        <v>1.82</v>
      </c>
      <c r="EW17" s="25"/>
    </row>
    <row r="18" spans="1:153" ht="17.25" customHeight="1" x14ac:dyDescent="0.25">
      <c r="A18" s="25" t="s">
        <v>137</v>
      </c>
      <c r="B18" s="25">
        <v>9.9670000000000005</v>
      </c>
      <c r="C18" s="25">
        <v>6.165</v>
      </c>
      <c r="D18" s="25">
        <v>5.5289999999999999</v>
      </c>
      <c r="E18" s="25">
        <v>4.1660000000000004</v>
      </c>
      <c r="F18" s="25">
        <v>3.4809999999999999</v>
      </c>
      <c r="G18" s="25">
        <v>2.6680000000000001</v>
      </c>
      <c r="H18" s="25">
        <v>3.16</v>
      </c>
      <c r="I18" s="25">
        <v>3.49</v>
      </c>
      <c r="J18" s="25">
        <v>3.7010000000000001</v>
      </c>
      <c r="K18" s="25">
        <v>4.0350000000000001</v>
      </c>
      <c r="L18" s="25">
        <v>5.0730000000000004</v>
      </c>
      <c r="M18" s="25">
        <v>6.2539999999999996</v>
      </c>
      <c r="N18" s="25">
        <v>4.79</v>
      </c>
      <c r="O18" s="25">
        <v>2.8650000000000002</v>
      </c>
      <c r="P18" s="25">
        <v>1.8260000000000001</v>
      </c>
      <c r="Q18" s="25">
        <v>1.044</v>
      </c>
      <c r="R18" s="25">
        <v>0</v>
      </c>
      <c r="S18" s="25">
        <v>1.2010000000000001</v>
      </c>
      <c r="T18" s="25">
        <v>1.464</v>
      </c>
      <c r="U18" s="25">
        <v>3.7879999999999998</v>
      </c>
      <c r="V18" s="25">
        <v>2.9510000000000001</v>
      </c>
      <c r="W18" s="25">
        <v>2.2240000000000002</v>
      </c>
      <c r="X18" s="25">
        <v>10.656000000000001</v>
      </c>
      <c r="Y18" s="25">
        <v>12.41</v>
      </c>
      <c r="Z18" s="25">
        <v>13.885</v>
      </c>
      <c r="AA18" s="25">
        <v>13.577</v>
      </c>
      <c r="AB18" s="25">
        <v>15.311999999999999</v>
      </c>
      <c r="AC18" s="25">
        <v>22.195</v>
      </c>
      <c r="AD18" s="25">
        <v>10.41</v>
      </c>
      <c r="AE18" s="25">
        <v>9.9390000000000001</v>
      </c>
      <c r="AF18" s="25">
        <v>6.99</v>
      </c>
      <c r="AG18" s="25">
        <v>7.2789999999999999</v>
      </c>
      <c r="AH18" s="25">
        <v>6.165</v>
      </c>
      <c r="AI18" s="25">
        <v>2.8650000000000002</v>
      </c>
      <c r="AJ18" s="25">
        <v>3.16</v>
      </c>
      <c r="AK18" s="25">
        <v>3.49</v>
      </c>
      <c r="AL18" s="25">
        <v>1.044</v>
      </c>
      <c r="AM18" s="25">
        <v>7.0819999999999999</v>
      </c>
      <c r="AN18" s="25">
        <v>8.7680000000000007</v>
      </c>
      <c r="AO18" s="25">
        <v>2.8650000000000002</v>
      </c>
      <c r="AP18" s="25">
        <v>10.795999999999999</v>
      </c>
      <c r="AQ18" s="25">
        <v>5.48</v>
      </c>
      <c r="AR18" s="25">
        <v>2.8650000000000002</v>
      </c>
      <c r="AS18" s="25">
        <v>2.8650000000000002</v>
      </c>
      <c r="AT18" s="25">
        <v>2.8650000000000002</v>
      </c>
      <c r="AU18" s="25">
        <v>6.5170000000000003</v>
      </c>
      <c r="AV18" s="25">
        <v>2.8650000000000002</v>
      </c>
      <c r="AW18" s="25">
        <v>2.1120000000000001</v>
      </c>
      <c r="AX18" s="25">
        <v>9.0340000000000007</v>
      </c>
      <c r="AY18" s="25">
        <v>2.8650000000000002</v>
      </c>
      <c r="AZ18" s="25">
        <v>4.3390000000000004</v>
      </c>
      <c r="BA18" s="25">
        <v>2.8650000000000002</v>
      </c>
      <c r="BB18" s="25">
        <v>1.929</v>
      </c>
      <c r="BC18" s="25">
        <v>2.8650000000000002</v>
      </c>
      <c r="BD18" s="25">
        <v>3.7629999999999999</v>
      </c>
      <c r="BE18" s="25">
        <v>2.8650000000000002</v>
      </c>
      <c r="BF18" s="25">
        <v>35.326999999999998</v>
      </c>
      <c r="BG18" s="25">
        <v>2.8650000000000002</v>
      </c>
      <c r="BH18" s="25">
        <v>2.8650000000000002</v>
      </c>
      <c r="BI18" s="25">
        <v>23.506</v>
      </c>
      <c r="BJ18" s="25">
        <v>2.8650000000000002</v>
      </c>
      <c r="BK18" s="25">
        <v>2.8650000000000002</v>
      </c>
      <c r="BL18" s="25">
        <v>2.8650000000000002</v>
      </c>
      <c r="BM18" s="25">
        <v>2.8650000000000002</v>
      </c>
      <c r="BN18" s="25">
        <v>2.8650000000000002</v>
      </c>
      <c r="BO18" s="25">
        <v>2.8650000000000002</v>
      </c>
      <c r="BP18" s="25">
        <v>3.7690000000000001</v>
      </c>
      <c r="BQ18" s="25">
        <v>3.3740000000000001</v>
      </c>
      <c r="BR18" s="25">
        <v>2.8650000000000002</v>
      </c>
      <c r="BS18" s="25">
        <v>2.8650000000000002</v>
      </c>
      <c r="BT18" s="25">
        <v>2.8650000000000002</v>
      </c>
      <c r="BU18" s="25">
        <v>5.5679999999999996</v>
      </c>
      <c r="BV18" s="25">
        <v>2.8650000000000002</v>
      </c>
      <c r="BW18" s="25">
        <v>2.8650000000000002</v>
      </c>
      <c r="BX18" s="25">
        <v>3.6230000000000002</v>
      </c>
      <c r="BY18" s="25">
        <v>3.4980000000000002</v>
      </c>
      <c r="BZ18" s="25">
        <v>3.4119999999999999</v>
      </c>
      <c r="CA18" s="25">
        <v>2.8650000000000002</v>
      </c>
      <c r="CB18" s="25">
        <v>2.8650000000000002</v>
      </c>
      <c r="CC18" s="25">
        <v>11.505000000000001</v>
      </c>
      <c r="CD18" s="25">
        <v>12.41</v>
      </c>
      <c r="CE18" s="25">
        <v>2.8650000000000002</v>
      </c>
      <c r="CF18" s="25">
        <v>15.534000000000001</v>
      </c>
      <c r="CG18" s="25">
        <v>23.594000000000001</v>
      </c>
      <c r="CH18" s="25">
        <v>2.8650000000000002</v>
      </c>
      <c r="CI18" s="25">
        <v>2.8650000000000002</v>
      </c>
      <c r="CJ18" s="25">
        <v>2.8650000000000002</v>
      </c>
      <c r="CK18" s="25">
        <v>2.8650000000000002</v>
      </c>
      <c r="CL18" s="25">
        <v>2.8650000000000002</v>
      </c>
      <c r="CM18" s="25">
        <v>2.8650000000000002</v>
      </c>
      <c r="CN18" s="25">
        <v>2.8650000000000002</v>
      </c>
      <c r="CO18" s="25">
        <v>2.8650000000000002</v>
      </c>
      <c r="CP18" s="25">
        <v>2.8650000000000002</v>
      </c>
      <c r="CQ18" s="25">
        <v>2.8650000000000002</v>
      </c>
      <c r="CR18" s="25">
        <v>2.8650000000000002</v>
      </c>
      <c r="CS18" s="25">
        <v>42.206000000000003</v>
      </c>
      <c r="CT18" s="25">
        <v>2.8650000000000002</v>
      </c>
      <c r="CU18" s="25">
        <v>2.8650000000000002</v>
      </c>
      <c r="CV18" s="25">
        <v>2.7309999999999999</v>
      </c>
      <c r="CW18" s="25">
        <v>2.8650000000000002</v>
      </c>
      <c r="CX18" s="25">
        <v>2.8650000000000002</v>
      </c>
      <c r="CY18" s="25">
        <v>2.8650000000000002</v>
      </c>
      <c r="CZ18" s="25">
        <v>4.8490000000000002</v>
      </c>
      <c r="DA18" s="25">
        <v>2.0259999999999998</v>
      </c>
      <c r="DB18" s="25">
        <v>16.013000000000002</v>
      </c>
      <c r="DC18" s="25">
        <v>15.346</v>
      </c>
      <c r="DD18" s="25">
        <v>5.5730000000000004</v>
      </c>
      <c r="DE18" s="25">
        <v>17.309999999999999</v>
      </c>
      <c r="DF18" s="25">
        <v>2.8650000000000002</v>
      </c>
      <c r="DG18" s="25">
        <v>7.7110000000000003</v>
      </c>
      <c r="DH18" s="25">
        <v>33.247999999999998</v>
      </c>
      <c r="DI18" s="25">
        <v>2.8650000000000002</v>
      </c>
      <c r="DJ18" s="25">
        <v>2.8650000000000002</v>
      </c>
      <c r="DK18" s="25">
        <v>1.468</v>
      </c>
      <c r="DL18" s="25">
        <v>2.8650000000000002</v>
      </c>
      <c r="DM18" s="25">
        <v>17.309999999999999</v>
      </c>
      <c r="DN18" s="25">
        <v>2.8650000000000002</v>
      </c>
      <c r="DO18" s="25">
        <v>2.8650000000000002</v>
      </c>
      <c r="DP18" s="25">
        <v>2.8650000000000002</v>
      </c>
      <c r="DQ18" s="25">
        <v>2.8650000000000002</v>
      </c>
      <c r="DR18" s="25">
        <v>2.8650000000000002</v>
      </c>
      <c r="DS18" s="25">
        <v>2.8650000000000002</v>
      </c>
      <c r="DT18" s="25">
        <v>2.8650000000000002</v>
      </c>
      <c r="DU18" s="25">
        <v>5.0590000000000002</v>
      </c>
      <c r="DV18" s="25">
        <v>2.8650000000000002</v>
      </c>
      <c r="DW18" s="25">
        <v>9.18</v>
      </c>
      <c r="DX18" s="25">
        <v>11.743</v>
      </c>
      <c r="DY18" s="25">
        <v>2.8650000000000002</v>
      </c>
      <c r="DZ18" s="25">
        <v>12.007999999999999</v>
      </c>
      <c r="EA18" s="25">
        <v>2.8650000000000002</v>
      </c>
      <c r="EB18" s="25">
        <v>7.6820000000000004</v>
      </c>
      <c r="EC18" s="25">
        <v>2.8650000000000002</v>
      </c>
      <c r="ED18" s="25">
        <v>2.8650000000000002</v>
      </c>
      <c r="EE18" s="25">
        <v>2.8650000000000002</v>
      </c>
      <c r="EF18" s="25">
        <v>2.8650000000000002</v>
      </c>
      <c r="EG18" s="25">
        <v>8.5239999999999991</v>
      </c>
      <c r="EH18" s="25">
        <v>8.1929999999999996</v>
      </c>
      <c r="EI18" s="25">
        <v>2.8650000000000002</v>
      </c>
      <c r="EJ18" s="25">
        <v>1.044</v>
      </c>
      <c r="EK18" s="25">
        <v>2.8650000000000002</v>
      </c>
      <c r="EL18" s="25">
        <v>2.8650000000000002</v>
      </c>
      <c r="EM18" s="25">
        <v>2.169</v>
      </c>
      <c r="EN18" s="25">
        <v>2.8650000000000002</v>
      </c>
      <c r="EO18" s="25">
        <v>2.2879999999999998</v>
      </c>
      <c r="EP18" s="25">
        <v>2.8650000000000002</v>
      </c>
      <c r="EQ18" s="25">
        <v>2.8650000000000002</v>
      </c>
      <c r="ER18" s="25">
        <v>41.362000000000002</v>
      </c>
      <c r="ES18" s="25">
        <v>11.199</v>
      </c>
      <c r="ET18" s="25">
        <v>2.8650000000000002</v>
      </c>
      <c r="EU18" s="25">
        <v>2.8650000000000002</v>
      </c>
      <c r="EV18" s="25">
        <v>2.8650000000000002</v>
      </c>
      <c r="EW18" s="25"/>
    </row>
    <row r="19" spans="1:153" ht="17.25" customHeight="1" x14ac:dyDescent="0.25">
      <c r="A19" s="25" t="s">
        <v>138</v>
      </c>
      <c r="B19" s="25">
        <v>9.7140000000000004</v>
      </c>
      <c r="C19" s="25">
        <v>6.9109999999999996</v>
      </c>
      <c r="D19" s="25">
        <v>6.2750000000000004</v>
      </c>
      <c r="E19" s="25">
        <v>4.9119999999999999</v>
      </c>
      <c r="F19" s="25">
        <v>4.2270000000000003</v>
      </c>
      <c r="G19" s="25">
        <v>3.4140000000000001</v>
      </c>
      <c r="H19" s="25">
        <v>3.9060000000000001</v>
      </c>
      <c r="I19" s="25">
        <v>3.9460000000000002</v>
      </c>
      <c r="J19" s="25">
        <v>4.157</v>
      </c>
      <c r="K19" s="25">
        <v>4.4909999999999997</v>
      </c>
      <c r="L19" s="25">
        <v>8.43</v>
      </c>
      <c r="M19" s="25">
        <v>7</v>
      </c>
      <c r="N19" s="25">
        <v>5.5359999999999996</v>
      </c>
      <c r="O19" s="25">
        <v>3.6110000000000002</v>
      </c>
      <c r="P19" s="25">
        <v>2.5720000000000001</v>
      </c>
      <c r="Q19" s="25">
        <v>1.79</v>
      </c>
      <c r="R19" s="25">
        <v>0.753</v>
      </c>
      <c r="S19" s="25">
        <v>0</v>
      </c>
      <c r="T19" s="25">
        <v>1.2110000000000001</v>
      </c>
      <c r="U19" s="25">
        <v>3.536</v>
      </c>
      <c r="V19" s="25">
        <v>2.6989999999999998</v>
      </c>
      <c r="W19" s="25">
        <v>1.972</v>
      </c>
      <c r="X19" s="25">
        <v>10.403</v>
      </c>
      <c r="Y19" s="25">
        <v>12.157</v>
      </c>
      <c r="Z19" s="25">
        <v>13.632</v>
      </c>
      <c r="AA19" s="25">
        <v>13.324</v>
      </c>
      <c r="AB19" s="25">
        <v>15.058999999999999</v>
      </c>
      <c r="AC19" s="25">
        <v>21.942</v>
      </c>
      <c r="AD19" s="25">
        <v>10.157</v>
      </c>
      <c r="AE19" s="25">
        <v>9.6859999999999999</v>
      </c>
      <c r="AF19" s="25">
        <v>6.7370000000000001</v>
      </c>
      <c r="AG19" s="25">
        <v>7.0259999999999998</v>
      </c>
      <c r="AH19" s="25">
        <v>6.9109999999999996</v>
      </c>
      <c r="AI19" s="25">
        <v>3.6110000000000002</v>
      </c>
      <c r="AJ19" s="25">
        <v>3.9060000000000001</v>
      </c>
      <c r="AK19" s="25">
        <v>3.9460000000000002</v>
      </c>
      <c r="AL19" s="25">
        <v>1.79</v>
      </c>
      <c r="AM19" s="25">
        <v>6.8289999999999997</v>
      </c>
      <c r="AN19" s="25">
        <v>8.516</v>
      </c>
      <c r="AO19" s="25">
        <v>3.6110000000000002</v>
      </c>
      <c r="AP19" s="25">
        <v>10.542999999999999</v>
      </c>
      <c r="AQ19" s="25">
        <v>6.226</v>
      </c>
      <c r="AR19" s="25">
        <v>3.6110000000000002</v>
      </c>
      <c r="AS19" s="25">
        <v>3.6110000000000002</v>
      </c>
      <c r="AT19" s="25">
        <v>3.6110000000000002</v>
      </c>
      <c r="AU19" s="25">
        <v>7.2629999999999999</v>
      </c>
      <c r="AV19" s="25">
        <v>3.6110000000000002</v>
      </c>
      <c r="AW19" s="25">
        <v>3.2130000000000001</v>
      </c>
      <c r="AX19" s="25">
        <v>9.7799999999999994</v>
      </c>
      <c r="AY19" s="25">
        <v>3.6110000000000002</v>
      </c>
      <c r="AZ19" s="25">
        <v>5.085</v>
      </c>
      <c r="BA19" s="25">
        <v>3.6110000000000002</v>
      </c>
      <c r="BB19" s="25">
        <v>2.6749999999999998</v>
      </c>
      <c r="BC19" s="25">
        <v>3.6110000000000002</v>
      </c>
      <c r="BD19" s="25">
        <v>4.5090000000000003</v>
      </c>
      <c r="BE19" s="25">
        <v>3.6110000000000002</v>
      </c>
      <c r="BF19" s="25">
        <v>35.073999999999998</v>
      </c>
      <c r="BG19" s="25">
        <v>3.6110000000000002</v>
      </c>
      <c r="BH19" s="25">
        <v>3.6110000000000002</v>
      </c>
      <c r="BI19" s="25">
        <v>23.253</v>
      </c>
      <c r="BJ19" s="25">
        <v>3.6110000000000002</v>
      </c>
      <c r="BK19" s="25">
        <v>3.6110000000000002</v>
      </c>
      <c r="BL19" s="25">
        <v>3.6110000000000002</v>
      </c>
      <c r="BM19" s="25">
        <v>3.6110000000000002</v>
      </c>
      <c r="BN19" s="25">
        <v>3.6110000000000002</v>
      </c>
      <c r="BO19" s="25">
        <v>3.6110000000000002</v>
      </c>
      <c r="BP19" s="25">
        <v>3.37</v>
      </c>
      <c r="BQ19" s="25">
        <v>4.12</v>
      </c>
      <c r="BR19" s="25">
        <v>3.6110000000000002</v>
      </c>
      <c r="BS19" s="25">
        <v>3.6110000000000002</v>
      </c>
      <c r="BT19" s="25">
        <v>3.6110000000000002</v>
      </c>
      <c r="BU19" s="25">
        <v>5.1920000000000002</v>
      </c>
      <c r="BV19" s="25">
        <v>3.6110000000000002</v>
      </c>
      <c r="BW19" s="25">
        <v>3.6110000000000002</v>
      </c>
      <c r="BX19" s="25">
        <v>5.05</v>
      </c>
      <c r="BY19" s="25">
        <v>4.2439999999999998</v>
      </c>
      <c r="BZ19" s="25">
        <v>4.1580000000000004</v>
      </c>
      <c r="CA19" s="25">
        <v>3.6110000000000002</v>
      </c>
      <c r="CB19" s="25">
        <v>3.6110000000000002</v>
      </c>
      <c r="CC19" s="25">
        <v>11.252000000000001</v>
      </c>
      <c r="CD19" s="25">
        <v>12.157</v>
      </c>
      <c r="CE19" s="25">
        <v>3.6110000000000002</v>
      </c>
      <c r="CF19" s="25">
        <v>15.281000000000001</v>
      </c>
      <c r="CG19" s="25">
        <v>23.341000000000001</v>
      </c>
      <c r="CH19" s="25">
        <v>3.6110000000000002</v>
      </c>
      <c r="CI19" s="25">
        <v>3.6110000000000002</v>
      </c>
      <c r="CJ19" s="25">
        <v>3.6110000000000002</v>
      </c>
      <c r="CK19" s="25">
        <v>3.6110000000000002</v>
      </c>
      <c r="CL19" s="25">
        <v>3.6110000000000002</v>
      </c>
      <c r="CM19" s="25">
        <v>3.6110000000000002</v>
      </c>
      <c r="CN19" s="25">
        <v>3.6110000000000002</v>
      </c>
      <c r="CO19" s="25">
        <v>3.6110000000000002</v>
      </c>
      <c r="CP19" s="25">
        <v>3.6110000000000002</v>
      </c>
      <c r="CQ19" s="25">
        <v>3.6110000000000002</v>
      </c>
      <c r="CR19" s="25">
        <v>3.6110000000000002</v>
      </c>
      <c r="CS19" s="25">
        <v>41.953000000000003</v>
      </c>
      <c r="CT19" s="25">
        <v>3.6110000000000002</v>
      </c>
      <c r="CU19" s="25">
        <v>3.6110000000000002</v>
      </c>
      <c r="CV19" s="25">
        <v>3.1859999999999999</v>
      </c>
      <c r="CW19" s="25">
        <v>3.6110000000000002</v>
      </c>
      <c r="CX19" s="25">
        <v>3.6110000000000002</v>
      </c>
      <c r="CY19" s="25">
        <v>3.6110000000000002</v>
      </c>
      <c r="CZ19" s="25">
        <v>4.4729999999999999</v>
      </c>
      <c r="DA19" s="25">
        <v>2.7719999999999998</v>
      </c>
      <c r="DB19" s="25">
        <v>15.76</v>
      </c>
      <c r="DC19" s="25">
        <v>15.093</v>
      </c>
      <c r="DD19" s="25">
        <v>6.319</v>
      </c>
      <c r="DE19" s="25">
        <v>17.056999999999999</v>
      </c>
      <c r="DF19" s="25">
        <v>3.6110000000000002</v>
      </c>
      <c r="DG19" s="25">
        <v>7.4580000000000002</v>
      </c>
      <c r="DH19" s="25">
        <v>32.994999999999997</v>
      </c>
      <c r="DI19" s="25">
        <v>3.6110000000000002</v>
      </c>
      <c r="DJ19" s="25">
        <v>3.6110000000000002</v>
      </c>
      <c r="DK19" s="25">
        <v>1.944</v>
      </c>
      <c r="DL19" s="25">
        <v>3.6110000000000002</v>
      </c>
      <c r="DM19" s="25">
        <v>17.056999999999999</v>
      </c>
      <c r="DN19" s="25">
        <v>3.6110000000000002</v>
      </c>
      <c r="DO19" s="25">
        <v>3.6110000000000002</v>
      </c>
      <c r="DP19" s="25">
        <v>3.6110000000000002</v>
      </c>
      <c r="DQ19" s="25">
        <v>3.6110000000000002</v>
      </c>
      <c r="DR19" s="25">
        <v>3.6110000000000002</v>
      </c>
      <c r="DS19" s="25">
        <v>3.6110000000000002</v>
      </c>
      <c r="DT19" s="25">
        <v>3.6110000000000002</v>
      </c>
      <c r="DU19" s="25">
        <v>5.8049999999999997</v>
      </c>
      <c r="DV19" s="25">
        <v>3.6110000000000002</v>
      </c>
      <c r="DW19" s="25">
        <v>8.9269999999999996</v>
      </c>
      <c r="DX19" s="25">
        <v>11.49</v>
      </c>
      <c r="DY19" s="25">
        <v>3.6110000000000002</v>
      </c>
      <c r="DZ19" s="25">
        <v>11.755000000000001</v>
      </c>
      <c r="EA19" s="25">
        <v>3.6110000000000002</v>
      </c>
      <c r="EB19" s="25">
        <v>7.4290000000000003</v>
      </c>
      <c r="EC19" s="25">
        <v>3.6110000000000002</v>
      </c>
      <c r="ED19" s="25">
        <v>3.6110000000000002</v>
      </c>
      <c r="EE19" s="25">
        <v>3.6110000000000002</v>
      </c>
      <c r="EF19" s="25">
        <v>3.6110000000000002</v>
      </c>
      <c r="EG19" s="25">
        <v>8.2710000000000008</v>
      </c>
      <c r="EH19" s="25">
        <v>11.895</v>
      </c>
      <c r="EI19" s="25">
        <v>3.6110000000000002</v>
      </c>
      <c r="EJ19" s="25">
        <v>1.79</v>
      </c>
      <c r="EK19" s="25">
        <v>3.6110000000000002</v>
      </c>
      <c r="EL19" s="25">
        <v>3.6110000000000002</v>
      </c>
      <c r="EM19" s="25">
        <v>1.9159999999999999</v>
      </c>
      <c r="EN19" s="25">
        <v>3.6110000000000002</v>
      </c>
      <c r="EO19" s="25">
        <v>1.9119999999999999</v>
      </c>
      <c r="EP19" s="25">
        <v>3.6110000000000002</v>
      </c>
      <c r="EQ19" s="25">
        <v>3.6110000000000002</v>
      </c>
      <c r="ER19" s="25">
        <v>41.109000000000002</v>
      </c>
      <c r="ES19" s="25">
        <v>10.946</v>
      </c>
      <c r="ET19" s="25">
        <v>3.6110000000000002</v>
      </c>
      <c r="EU19" s="25">
        <v>3.6110000000000002</v>
      </c>
      <c r="EV19" s="25">
        <v>3.6110000000000002</v>
      </c>
      <c r="EW19" s="25"/>
    </row>
    <row r="20" spans="1:153" ht="17.25" customHeight="1" x14ac:dyDescent="0.25">
      <c r="A20" s="25" t="s">
        <v>139</v>
      </c>
      <c r="B20" s="25">
        <v>9.7550000000000008</v>
      </c>
      <c r="C20" s="25">
        <v>10.702</v>
      </c>
      <c r="D20" s="25">
        <v>7.07</v>
      </c>
      <c r="E20" s="25">
        <v>6.0140000000000002</v>
      </c>
      <c r="F20" s="25">
        <v>5.3289999999999997</v>
      </c>
      <c r="G20" s="25">
        <v>4.5060000000000002</v>
      </c>
      <c r="H20" s="25">
        <v>5.4320000000000004</v>
      </c>
      <c r="I20" s="25">
        <v>4.0869999999999997</v>
      </c>
      <c r="J20" s="25">
        <v>4.298</v>
      </c>
      <c r="K20" s="25">
        <v>4.6319999999999997</v>
      </c>
      <c r="L20" s="25">
        <v>5.67</v>
      </c>
      <c r="M20" s="25">
        <v>8.0920000000000005</v>
      </c>
      <c r="N20" s="25">
        <v>7.0590000000000002</v>
      </c>
      <c r="O20" s="25">
        <v>5.1379999999999999</v>
      </c>
      <c r="P20" s="25">
        <v>3.6640000000000001</v>
      </c>
      <c r="Q20" s="25">
        <v>2.8820000000000001</v>
      </c>
      <c r="R20" s="25">
        <v>1.8460000000000001</v>
      </c>
      <c r="S20" s="25">
        <v>1.093</v>
      </c>
      <c r="T20" s="25">
        <v>0</v>
      </c>
      <c r="U20" s="25">
        <v>2.3250000000000002</v>
      </c>
      <c r="V20" s="25">
        <v>1.488</v>
      </c>
      <c r="W20" s="25">
        <v>0.76100000000000001</v>
      </c>
      <c r="X20" s="25">
        <v>11.14</v>
      </c>
      <c r="Y20" s="25">
        <v>12.198</v>
      </c>
      <c r="Z20" s="25">
        <v>13.673</v>
      </c>
      <c r="AA20" s="25">
        <v>13.365</v>
      </c>
      <c r="AB20" s="25">
        <v>15.1</v>
      </c>
      <c r="AC20" s="25">
        <v>21.983000000000001</v>
      </c>
      <c r="AD20" s="25">
        <v>10.894</v>
      </c>
      <c r="AE20" s="25">
        <v>9.7270000000000003</v>
      </c>
      <c r="AF20" s="25">
        <v>7.4740000000000002</v>
      </c>
      <c r="AG20" s="25">
        <v>7.7629999999999999</v>
      </c>
      <c r="AH20" s="25">
        <v>10.702</v>
      </c>
      <c r="AI20" s="25">
        <v>5.1379999999999999</v>
      </c>
      <c r="AJ20" s="25">
        <v>5.4320000000000004</v>
      </c>
      <c r="AK20" s="25">
        <v>4.0869999999999997</v>
      </c>
      <c r="AL20" s="25">
        <v>2.8820000000000001</v>
      </c>
      <c r="AM20" s="25">
        <v>7.5659999999999998</v>
      </c>
      <c r="AN20" s="25">
        <v>7.3049999999999997</v>
      </c>
      <c r="AO20" s="25">
        <v>5.1379999999999999</v>
      </c>
      <c r="AP20" s="25">
        <v>10.584</v>
      </c>
      <c r="AQ20" s="25">
        <v>10.273999999999999</v>
      </c>
      <c r="AR20" s="25">
        <v>5.1379999999999999</v>
      </c>
      <c r="AS20" s="25">
        <v>5.1379999999999999</v>
      </c>
      <c r="AT20" s="25">
        <v>5.1379999999999999</v>
      </c>
      <c r="AU20" s="25">
        <v>8.3650000000000002</v>
      </c>
      <c r="AV20" s="25">
        <v>5.1379999999999999</v>
      </c>
      <c r="AW20" s="25">
        <v>3.5369999999999999</v>
      </c>
      <c r="AX20" s="25">
        <v>10.872</v>
      </c>
      <c r="AY20" s="25">
        <v>5.1379999999999999</v>
      </c>
      <c r="AZ20" s="25">
        <v>6.6079999999999997</v>
      </c>
      <c r="BA20" s="25">
        <v>5.1379999999999999</v>
      </c>
      <c r="BB20" s="25">
        <v>3.7669999999999999</v>
      </c>
      <c r="BC20" s="25">
        <v>5.1379999999999999</v>
      </c>
      <c r="BD20" s="25">
        <v>6.032</v>
      </c>
      <c r="BE20" s="25">
        <v>5.1379999999999999</v>
      </c>
      <c r="BF20" s="25">
        <v>35.115000000000002</v>
      </c>
      <c r="BG20" s="25">
        <v>5.1379999999999999</v>
      </c>
      <c r="BH20" s="25">
        <v>5.1379999999999999</v>
      </c>
      <c r="BI20" s="25">
        <v>23.294</v>
      </c>
      <c r="BJ20" s="25">
        <v>5.1379999999999999</v>
      </c>
      <c r="BK20" s="25">
        <v>5.1379999999999999</v>
      </c>
      <c r="BL20" s="25">
        <v>5.1379999999999999</v>
      </c>
      <c r="BM20" s="25">
        <v>5.1379999999999999</v>
      </c>
      <c r="BN20" s="25">
        <v>5.1379999999999999</v>
      </c>
      <c r="BO20" s="25">
        <v>5.1379999999999999</v>
      </c>
      <c r="BP20" s="25">
        <v>2.306</v>
      </c>
      <c r="BQ20" s="25">
        <v>5.2220000000000004</v>
      </c>
      <c r="BR20" s="25">
        <v>5.1379999999999999</v>
      </c>
      <c r="BS20" s="25">
        <v>5.1379999999999999</v>
      </c>
      <c r="BT20" s="25">
        <v>5.1379999999999999</v>
      </c>
      <c r="BU20" s="25">
        <v>4.5110000000000001</v>
      </c>
      <c r="BV20" s="25">
        <v>5.1379999999999999</v>
      </c>
      <c r="BW20" s="25">
        <v>5.1379999999999999</v>
      </c>
      <c r="BX20" s="25">
        <v>4.22</v>
      </c>
      <c r="BY20" s="25">
        <v>5.3470000000000004</v>
      </c>
      <c r="BZ20" s="25">
        <v>5.26</v>
      </c>
      <c r="CA20" s="25">
        <v>5.1379999999999999</v>
      </c>
      <c r="CB20" s="25">
        <v>5.1379999999999999</v>
      </c>
      <c r="CC20" s="25">
        <v>11.292999999999999</v>
      </c>
      <c r="CD20" s="25">
        <v>12.198</v>
      </c>
      <c r="CE20" s="25">
        <v>5.1379999999999999</v>
      </c>
      <c r="CF20" s="25">
        <v>15.321999999999999</v>
      </c>
      <c r="CG20" s="25">
        <v>23.382000000000001</v>
      </c>
      <c r="CH20" s="25">
        <v>5.1379999999999999</v>
      </c>
      <c r="CI20" s="25">
        <v>5.1379999999999999</v>
      </c>
      <c r="CJ20" s="25">
        <v>5.1379999999999999</v>
      </c>
      <c r="CK20" s="25">
        <v>5.1379999999999999</v>
      </c>
      <c r="CL20" s="25">
        <v>5.1379999999999999</v>
      </c>
      <c r="CM20" s="25">
        <v>5.1379999999999999</v>
      </c>
      <c r="CN20" s="25">
        <v>5.1379999999999999</v>
      </c>
      <c r="CO20" s="25">
        <v>5.1379999999999999</v>
      </c>
      <c r="CP20" s="25">
        <v>5.1379999999999999</v>
      </c>
      <c r="CQ20" s="25">
        <v>5.1379999999999999</v>
      </c>
      <c r="CR20" s="25">
        <v>5.1379999999999999</v>
      </c>
      <c r="CS20" s="25">
        <v>41.994</v>
      </c>
      <c r="CT20" s="25">
        <v>5.1379999999999999</v>
      </c>
      <c r="CU20" s="25">
        <v>5.1379999999999999</v>
      </c>
      <c r="CV20" s="25">
        <v>3.327</v>
      </c>
      <c r="CW20" s="25">
        <v>5.1379999999999999</v>
      </c>
      <c r="CX20" s="25">
        <v>5.1379999999999999</v>
      </c>
      <c r="CY20" s="25">
        <v>5.1379999999999999</v>
      </c>
      <c r="CZ20" s="25">
        <v>3.7919999999999998</v>
      </c>
      <c r="DA20" s="25">
        <v>3.8639999999999999</v>
      </c>
      <c r="DB20" s="25">
        <v>15.801</v>
      </c>
      <c r="DC20" s="25">
        <v>15.134</v>
      </c>
      <c r="DD20" s="25">
        <v>7.2569999999999997</v>
      </c>
      <c r="DE20" s="25">
        <v>16.925000000000001</v>
      </c>
      <c r="DF20" s="25">
        <v>5.1379999999999999</v>
      </c>
      <c r="DG20" s="25">
        <v>7.4989999999999997</v>
      </c>
      <c r="DH20" s="25">
        <v>33.036000000000001</v>
      </c>
      <c r="DI20" s="25">
        <v>5.1379999999999999</v>
      </c>
      <c r="DJ20" s="25">
        <v>5.1379999999999999</v>
      </c>
      <c r="DK20" s="25">
        <v>2.8439999999999999</v>
      </c>
      <c r="DL20" s="25">
        <v>5.1379999999999999</v>
      </c>
      <c r="DM20" s="25">
        <v>16.925000000000001</v>
      </c>
      <c r="DN20" s="25">
        <v>5.1379999999999999</v>
      </c>
      <c r="DO20" s="25">
        <v>5.1379999999999999</v>
      </c>
      <c r="DP20" s="25">
        <v>5.1379999999999999</v>
      </c>
      <c r="DQ20" s="25">
        <v>5.1379999999999999</v>
      </c>
      <c r="DR20" s="25">
        <v>5.1379999999999999</v>
      </c>
      <c r="DS20" s="25">
        <v>5.1379999999999999</v>
      </c>
      <c r="DT20" s="25">
        <v>5.1379999999999999</v>
      </c>
      <c r="DU20" s="25">
        <v>9.7569999999999997</v>
      </c>
      <c r="DV20" s="25">
        <v>5.1379999999999999</v>
      </c>
      <c r="DW20" s="25">
        <v>9.6639999999999997</v>
      </c>
      <c r="DX20" s="25">
        <v>7.8179999999999996</v>
      </c>
      <c r="DY20" s="25">
        <v>5.1379999999999999</v>
      </c>
      <c r="DZ20" s="25">
        <v>8.1869999999999994</v>
      </c>
      <c r="EA20" s="25">
        <v>5.1379999999999999</v>
      </c>
      <c r="EB20" s="25">
        <v>7.47</v>
      </c>
      <c r="EC20" s="25">
        <v>5.1379999999999999</v>
      </c>
      <c r="ED20" s="25">
        <v>5.1379999999999999</v>
      </c>
      <c r="EE20" s="25">
        <v>5.1379999999999999</v>
      </c>
      <c r="EF20" s="25">
        <v>5.1379999999999999</v>
      </c>
      <c r="EG20" s="25">
        <v>8.3119999999999994</v>
      </c>
      <c r="EH20" s="25">
        <v>8.7899999999999991</v>
      </c>
      <c r="EI20" s="25">
        <v>5.1379999999999999</v>
      </c>
      <c r="EJ20" s="25">
        <v>2.8820000000000001</v>
      </c>
      <c r="EK20" s="25">
        <v>5.1379999999999999</v>
      </c>
      <c r="EL20" s="25">
        <v>5.1379999999999999</v>
      </c>
      <c r="EM20" s="25">
        <v>1.611</v>
      </c>
      <c r="EN20" s="25">
        <v>5.1379999999999999</v>
      </c>
      <c r="EO20" s="25">
        <v>0.97299999999999998</v>
      </c>
      <c r="EP20" s="25">
        <v>5.1379999999999999</v>
      </c>
      <c r="EQ20" s="25">
        <v>5.1379999999999999</v>
      </c>
      <c r="ER20" s="25">
        <v>41.15</v>
      </c>
      <c r="ES20" s="25">
        <v>11.683</v>
      </c>
      <c r="ET20" s="25">
        <v>5.1379999999999999</v>
      </c>
      <c r="EU20" s="25">
        <v>5.1379999999999999</v>
      </c>
      <c r="EV20" s="25">
        <v>5.1379999999999999</v>
      </c>
      <c r="EW20" s="25"/>
    </row>
    <row r="21" spans="1:153" ht="17.25" customHeight="1" x14ac:dyDescent="0.25">
      <c r="A21" s="25" t="s">
        <v>140</v>
      </c>
      <c r="B21" s="25">
        <v>11.387</v>
      </c>
      <c r="C21" s="25">
        <v>12.334</v>
      </c>
      <c r="D21" s="25">
        <v>8.734</v>
      </c>
      <c r="E21" s="25">
        <v>7.6790000000000003</v>
      </c>
      <c r="F21" s="25">
        <v>6.9939999999999998</v>
      </c>
      <c r="G21" s="25">
        <v>6.44</v>
      </c>
      <c r="H21" s="25">
        <v>7.133</v>
      </c>
      <c r="I21" s="25">
        <v>6.2969999999999997</v>
      </c>
      <c r="J21" s="25">
        <v>9.9329999999999998</v>
      </c>
      <c r="K21" s="25">
        <v>9.1340000000000003</v>
      </c>
      <c r="L21" s="25">
        <v>8.3689999999999998</v>
      </c>
      <c r="M21" s="25">
        <v>10.218999999999999</v>
      </c>
      <c r="N21" s="25">
        <v>8.7490000000000006</v>
      </c>
      <c r="O21" s="25">
        <v>6.8390000000000004</v>
      </c>
      <c r="P21" s="25">
        <v>5.5979999999999999</v>
      </c>
      <c r="Q21" s="25">
        <v>4.8159999999999998</v>
      </c>
      <c r="R21" s="25">
        <v>3.78</v>
      </c>
      <c r="S21" s="25">
        <v>3.0270000000000001</v>
      </c>
      <c r="T21" s="25">
        <v>2.395</v>
      </c>
      <c r="U21" s="25">
        <v>0</v>
      </c>
      <c r="V21" s="25">
        <v>0.83699999999999997</v>
      </c>
      <c r="W21" s="25">
        <v>1.5640000000000001</v>
      </c>
      <c r="X21" s="25">
        <v>10.359</v>
      </c>
      <c r="Y21" s="25">
        <v>13.83</v>
      </c>
      <c r="Z21" s="25">
        <v>15.305</v>
      </c>
      <c r="AA21" s="25">
        <v>14.996</v>
      </c>
      <c r="AB21" s="25">
        <v>16.731000000000002</v>
      </c>
      <c r="AC21" s="25">
        <v>23.614000000000001</v>
      </c>
      <c r="AD21" s="25">
        <v>10.113</v>
      </c>
      <c r="AE21" s="25">
        <v>11.359</v>
      </c>
      <c r="AF21" s="25">
        <v>6.7670000000000003</v>
      </c>
      <c r="AG21" s="25">
        <v>5.7610000000000001</v>
      </c>
      <c r="AH21" s="25">
        <v>12.334</v>
      </c>
      <c r="AI21" s="25">
        <v>6.8390000000000004</v>
      </c>
      <c r="AJ21" s="25">
        <v>7.133</v>
      </c>
      <c r="AK21" s="25">
        <v>6.2969999999999997</v>
      </c>
      <c r="AL21" s="25">
        <v>4.8159999999999998</v>
      </c>
      <c r="AM21" s="25">
        <v>6.7679999999999998</v>
      </c>
      <c r="AN21" s="25">
        <v>3.7120000000000002</v>
      </c>
      <c r="AO21" s="25">
        <v>6.8390000000000004</v>
      </c>
      <c r="AP21" s="25">
        <v>12.215999999999999</v>
      </c>
      <c r="AQ21" s="25">
        <v>11.906000000000001</v>
      </c>
      <c r="AR21" s="25">
        <v>6.8390000000000004</v>
      </c>
      <c r="AS21" s="25">
        <v>6.8390000000000004</v>
      </c>
      <c r="AT21" s="25">
        <v>6.8390000000000004</v>
      </c>
      <c r="AU21" s="25">
        <v>10.029999999999999</v>
      </c>
      <c r="AV21" s="25">
        <v>6.8390000000000004</v>
      </c>
      <c r="AW21" s="25">
        <v>5.2009999999999996</v>
      </c>
      <c r="AX21" s="25">
        <v>13.159000000000001</v>
      </c>
      <c r="AY21" s="25">
        <v>6.8390000000000004</v>
      </c>
      <c r="AZ21" s="25">
        <v>8.298</v>
      </c>
      <c r="BA21" s="25">
        <v>6.8390000000000004</v>
      </c>
      <c r="BB21" s="25">
        <v>6.0110000000000001</v>
      </c>
      <c r="BC21" s="25">
        <v>6.8390000000000004</v>
      </c>
      <c r="BD21" s="25">
        <v>7.7220000000000004</v>
      </c>
      <c r="BE21" s="25">
        <v>6.8390000000000004</v>
      </c>
      <c r="BF21" s="25">
        <v>36.746000000000002</v>
      </c>
      <c r="BG21" s="25">
        <v>6.8390000000000004</v>
      </c>
      <c r="BH21" s="25">
        <v>6.8390000000000004</v>
      </c>
      <c r="BI21" s="25">
        <v>24.925999999999998</v>
      </c>
      <c r="BJ21" s="25">
        <v>6.8390000000000004</v>
      </c>
      <c r="BK21" s="25">
        <v>6.8390000000000004</v>
      </c>
      <c r="BL21" s="25">
        <v>6.8390000000000004</v>
      </c>
      <c r="BM21" s="25">
        <v>6.8390000000000004</v>
      </c>
      <c r="BN21" s="25">
        <v>6.8390000000000004</v>
      </c>
      <c r="BO21" s="25">
        <v>6.8390000000000004</v>
      </c>
      <c r="BP21" s="25">
        <v>1.242</v>
      </c>
      <c r="BQ21" s="25">
        <v>6.8869999999999996</v>
      </c>
      <c r="BR21" s="25">
        <v>6.8390000000000004</v>
      </c>
      <c r="BS21" s="25">
        <v>6.8390000000000004</v>
      </c>
      <c r="BT21" s="25">
        <v>6.8390000000000004</v>
      </c>
      <c r="BU21" s="25">
        <v>5.5759999999999996</v>
      </c>
      <c r="BV21" s="25">
        <v>6.8390000000000004</v>
      </c>
      <c r="BW21" s="25">
        <v>6.8390000000000004</v>
      </c>
      <c r="BX21" s="25">
        <v>5.4279999999999999</v>
      </c>
      <c r="BY21" s="25">
        <v>7.0110000000000001</v>
      </c>
      <c r="BZ21" s="25">
        <v>6.9249999999999998</v>
      </c>
      <c r="CA21" s="25">
        <v>6.8390000000000004</v>
      </c>
      <c r="CB21" s="25">
        <v>6.8390000000000004</v>
      </c>
      <c r="CC21" s="25">
        <v>12.925000000000001</v>
      </c>
      <c r="CD21" s="25">
        <v>13.83</v>
      </c>
      <c r="CE21" s="25">
        <v>6.8390000000000004</v>
      </c>
      <c r="CF21" s="25">
        <v>16.952999999999999</v>
      </c>
      <c r="CG21" s="25">
        <v>25.013000000000002</v>
      </c>
      <c r="CH21" s="25">
        <v>6.8390000000000004</v>
      </c>
      <c r="CI21" s="25">
        <v>6.8390000000000004</v>
      </c>
      <c r="CJ21" s="25">
        <v>6.8390000000000004</v>
      </c>
      <c r="CK21" s="25">
        <v>6.8390000000000004</v>
      </c>
      <c r="CL21" s="25">
        <v>6.8390000000000004</v>
      </c>
      <c r="CM21" s="25">
        <v>6.8390000000000004</v>
      </c>
      <c r="CN21" s="25">
        <v>6.8390000000000004</v>
      </c>
      <c r="CO21" s="25">
        <v>6.8390000000000004</v>
      </c>
      <c r="CP21" s="25">
        <v>6.8390000000000004</v>
      </c>
      <c r="CQ21" s="25">
        <v>6.8390000000000004</v>
      </c>
      <c r="CR21" s="25">
        <v>6.8390000000000004</v>
      </c>
      <c r="CS21" s="25">
        <v>43.625999999999998</v>
      </c>
      <c r="CT21" s="25">
        <v>6.8390000000000004</v>
      </c>
      <c r="CU21" s="25">
        <v>6.8390000000000004</v>
      </c>
      <c r="CV21" s="25">
        <v>5.83</v>
      </c>
      <c r="CW21" s="25">
        <v>6.8390000000000004</v>
      </c>
      <c r="CX21" s="25">
        <v>6.8390000000000004</v>
      </c>
      <c r="CY21" s="25">
        <v>6.8390000000000004</v>
      </c>
      <c r="CZ21" s="25">
        <v>4.2720000000000002</v>
      </c>
      <c r="DA21" s="25">
        <v>5.42</v>
      </c>
      <c r="DB21" s="25">
        <v>17.433</v>
      </c>
      <c r="DC21" s="25">
        <v>16.765999999999998</v>
      </c>
      <c r="DD21" s="25">
        <v>8.9209999999999994</v>
      </c>
      <c r="DE21" s="25">
        <v>17.327000000000002</v>
      </c>
      <c r="DF21" s="25">
        <v>6.8390000000000004</v>
      </c>
      <c r="DG21" s="25">
        <v>9.1310000000000002</v>
      </c>
      <c r="DH21" s="25">
        <v>34.667000000000002</v>
      </c>
      <c r="DI21" s="25">
        <v>6.8390000000000004</v>
      </c>
      <c r="DJ21" s="25">
        <v>6.8390000000000004</v>
      </c>
      <c r="DK21" s="25">
        <v>5.0540000000000003</v>
      </c>
      <c r="DL21" s="25">
        <v>6.8390000000000004</v>
      </c>
      <c r="DM21" s="25">
        <v>17.327000000000002</v>
      </c>
      <c r="DN21" s="25">
        <v>6.8390000000000004</v>
      </c>
      <c r="DO21" s="25">
        <v>6.8390000000000004</v>
      </c>
      <c r="DP21" s="25">
        <v>6.8390000000000004</v>
      </c>
      <c r="DQ21" s="25">
        <v>6.8390000000000004</v>
      </c>
      <c r="DR21" s="25">
        <v>6.8390000000000004</v>
      </c>
      <c r="DS21" s="25">
        <v>6.8390000000000004</v>
      </c>
      <c r="DT21" s="25">
        <v>6.8390000000000004</v>
      </c>
      <c r="DU21" s="25">
        <v>7.7640000000000002</v>
      </c>
      <c r="DV21" s="25">
        <v>6.8390000000000004</v>
      </c>
      <c r="DW21" s="25">
        <v>8.8829999999999991</v>
      </c>
      <c r="DX21" s="25">
        <v>4.3109999999999999</v>
      </c>
      <c r="DY21" s="25">
        <v>6.8390000000000004</v>
      </c>
      <c r="DZ21" s="25">
        <v>4.68</v>
      </c>
      <c r="EA21" s="25">
        <v>6.8390000000000004</v>
      </c>
      <c r="EB21" s="25">
        <v>9.1020000000000003</v>
      </c>
      <c r="EC21" s="25">
        <v>6.8390000000000004</v>
      </c>
      <c r="ED21" s="25">
        <v>6.8390000000000004</v>
      </c>
      <c r="EE21" s="25">
        <v>6.8390000000000004</v>
      </c>
      <c r="EF21" s="25">
        <v>6.8390000000000004</v>
      </c>
      <c r="EG21" s="25">
        <v>9.9440000000000008</v>
      </c>
      <c r="EH21" s="25">
        <v>11.529</v>
      </c>
      <c r="EI21" s="25">
        <v>6.8390000000000004</v>
      </c>
      <c r="EJ21" s="25">
        <v>4.8159999999999998</v>
      </c>
      <c r="EK21" s="25">
        <v>6.8390000000000004</v>
      </c>
      <c r="EL21" s="25">
        <v>6.8390000000000004</v>
      </c>
      <c r="EM21" s="25">
        <v>3.63</v>
      </c>
      <c r="EN21" s="25">
        <v>6.8390000000000004</v>
      </c>
      <c r="EO21" s="25">
        <v>2</v>
      </c>
      <c r="EP21" s="25">
        <v>6.8390000000000004</v>
      </c>
      <c r="EQ21" s="25">
        <v>6.8390000000000004</v>
      </c>
      <c r="ER21" s="25">
        <v>42.780999999999999</v>
      </c>
      <c r="ES21" s="25">
        <v>8.6910000000000007</v>
      </c>
      <c r="ET21" s="25">
        <v>6.8390000000000004</v>
      </c>
      <c r="EU21" s="25">
        <v>6.8390000000000004</v>
      </c>
      <c r="EV21" s="25">
        <v>6.8390000000000004</v>
      </c>
      <c r="EW21" s="25"/>
    </row>
    <row r="22" spans="1:153" ht="17.25" customHeight="1" x14ac:dyDescent="0.25">
      <c r="A22" s="25" t="s">
        <v>141</v>
      </c>
      <c r="B22" s="25">
        <v>10.576000000000001</v>
      </c>
      <c r="C22" s="25">
        <v>11.523</v>
      </c>
      <c r="D22" s="25">
        <v>7.923</v>
      </c>
      <c r="E22" s="25">
        <v>6.8680000000000003</v>
      </c>
      <c r="F22" s="25">
        <v>6.1829999999999998</v>
      </c>
      <c r="G22" s="25">
        <v>5.6029999999999998</v>
      </c>
      <c r="H22" s="25">
        <v>6.0949999999999998</v>
      </c>
      <c r="I22" s="25">
        <v>5.46</v>
      </c>
      <c r="J22" s="25">
        <v>5.6710000000000003</v>
      </c>
      <c r="K22" s="25">
        <v>6.0049999999999999</v>
      </c>
      <c r="L22" s="25">
        <v>6.8890000000000002</v>
      </c>
      <c r="M22" s="25">
        <v>9.4079999999999995</v>
      </c>
      <c r="N22" s="25">
        <v>7.7249999999999996</v>
      </c>
      <c r="O22" s="25">
        <v>5.8</v>
      </c>
      <c r="P22" s="25">
        <v>4.7610000000000001</v>
      </c>
      <c r="Q22" s="25">
        <v>3.9790000000000001</v>
      </c>
      <c r="R22" s="25">
        <v>2.9430000000000001</v>
      </c>
      <c r="S22" s="25">
        <v>2.19</v>
      </c>
      <c r="T22" s="25">
        <v>1.5580000000000001</v>
      </c>
      <c r="U22" s="25">
        <v>0.83699999999999997</v>
      </c>
      <c r="V22" s="25">
        <v>0</v>
      </c>
      <c r="W22" s="25">
        <v>0.72699999999999998</v>
      </c>
      <c r="X22" s="25">
        <v>10.288</v>
      </c>
      <c r="Y22" s="25">
        <v>13.019</v>
      </c>
      <c r="Z22" s="25">
        <v>14.494</v>
      </c>
      <c r="AA22" s="25">
        <v>14.185</v>
      </c>
      <c r="AB22" s="25">
        <v>15.92</v>
      </c>
      <c r="AC22" s="25">
        <v>22.803000000000001</v>
      </c>
      <c r="AD22" s="25">
        <v>10.042</v>
      </c>
      <c r="AE22" s="25">
        <v>10.548</v>
      </c>
      <c r="AF22" s="25">
        <v>6.6959999999999997</v>
      </c>
      <c r="AG22" s="25">
        <v>5.69</v>
      </c>
      <c r="AH22" s="25">
        <v>11.523</v>
      </c>
      <c r="AI22" s="25">
        <v>5.8</v>
      </c>
      <c r="AJ22" s="25">
        <v>6.0949999999999998</v>
      </c>
      <c r="AK22" s="25">
        <v>5.46</v>
      </c>
      <c r="AL22" s="25">
        <v>3.9790000000000001</v>
      </c>
      <c r="AM22" s="25">
        <v>6.6970000000000001</v>
      </c>
      <c r="AN22" s="25">
        <v>4.5529999999999999</v>
      </c>
      <c r="AO22" s="25">
        <v>5.8</v>
      </c>
      <c r="AP22" s="25">
        <v>11.404999999999999</v>
      </c>
      <c r="AQ22" s="25">
        <v>11.095000000000001</v>
      </c>
      <c r="AR22" s="25">
        <v>5.8</v>
      </c>
      <c r="AS22" s="25">
        <v>5.8</v>
      </c>
      <c r="AT22" s="25">
        <v>5.8</v>
      </c>
      <c r="AU22" s="25">
        <v>9.2189999999999994</v>
      </c>
      <c r="AV22" s="25">
        <v>5.8</v>
      </c>
      <c r="AW22" s="25">
        <v>4.3899999999999997</v>
      </c>
      <c r="AX22" s="25">
        <v>11.968999999999999</v>
      </c>
      <c r="AY22" s="25">
        <v>5.8</v>
      </c>
      <c r="AZ22" s="25">
        <v>7.274</v>
      </c>
      <c r="BA22" s="25">
        <v>5.8</v>
      </c>
      <c r="BB22" s="25">
        <v>5.2</v>
      </c>
      <c r="BC22" s="25">
        <v>5.8</v>
      </c>
      <c r="BD22" s="25">
        <v>6.6980000000000004</v>
      </c>
      <c r="BE22" s="25">
        <v>5.8</v>
      </c>
      <c r="BF22" s="25">
        <v>35.935000000000002</v>
      </c>
      <c r="BG22" s="25">
        <v>5.8</v>
      </c>
      <c r="BH22" s="25">
        <v>5.8</v>
      </c>
      <c r="BI22" s="25">
        <v>24.114999999999998</v>
      </c>
      <c r="BJ22" s="25">
        <v>5.8</v>
      </c>
      <c r="BK22" s="25">
        <v>5.8</v>
      </c>
      <c r="BL22" s="25">
        <v>5.8</v>
      </c>
      <c r="BM22" s="25">
        <v>5.8</v>
      </c>
      <c r="BN22" s="25">
        <v>5.8</v>
      </c>
      <c r="BO22" s="25">
        <v>5.8</v>
      </c>
      <c r="BP22" s="25">
        <v>0.83799999999999997</v>
      </c>
      <c r="BQ22" s="25">
        <v>6.0759999999999996</v>
      </c>
      <c r="BR22" s="25">
        <v>5.8</v>
      </c>
      <c r="BS22" s="25">
        <v>5.8</v>
      </c>
      <c r="BT22" s="25">
        <v>5.8</v>
      </c>
      <c r="BU22" s="25">
        <v>4.9649999999999999</v>
      </c>
      <c r="BV22" s="25">
        <v>5.8</v>
      </c>
      <c r="BW22" s="25">
        <v>5.8</v>
      </c>
      <c r="BX22" s="25">
        <v>5.4749999999999996</v>
      </c>
      <c r="BY22" s="25">
        <v>6.2</v>
      </c>
      <c r="BZ22" s="25">
        <v>6.1139999999999999</v>
      </c>
      <c r="CA22" s="25">
        <v>5.8</v>
      </c>
      <c r="CB22" s="25">
        <v>5.8</v>
      </c>
      <c r="CC22" s="25">
        <v>12.114000000000001</v>
      </c>
      <c r="CD22" s="25">
        <v>13.019</v>
      </c>
      <c r="CE22" s="25">
        <v>5.8</v>
      </c>
      <c r="CF22" s="25">
        <v>16.141999999999999</v>
      </c>
      <c r="CG22" s="25">
        <v>24.202000000000002</v>
      </c>
      <c r="CH22" s="25">
        <v>5.8</v>
      </c>
      <c r="CI22" s="25">
        <v>5.8</v>
      </c>
      <c r="CJ22" s="25">
        <v>5.8</v>
      </c>
      <c r="CK22" s="25">
        <v>5.8</v>
      </c>
      <c r="CL22" s="25">
        <v>5.8</v>
      </c>
      <c r="CM22" s="25">
        <v>5.8</v>
      </c>
      <c r="CN22" s="25">
        <v>5.8</v>
      </c>
      <c r="CO22" s="25">
        <v>5.8</v>
      </c>
      <c r="CP22" s="25">
        <v>5.8</v>
      </c>
      <c r="CQ22" s="25">
        <v>5.8</v>
      </c>
      <c r="CR22" s="25">
        <v>5.8</v>
      </c>
      <c r="CS22" s="25">
        <v>42.814999999999998</v>
      </c>
      <c r="CT22" s="25">
        <v>5.8</v>
      </c>
      <c r="CU22" s="25">
        <v>5.8</v>
      </c>
      <c r="CV22" s="25">
        <v>4.9930000000000003</v>
      </c>
      <c r="CW22" s="25">
        <v>5.8</v>
      </c>
      <c r="CX22" s="25">
        <v>5.8</v>
      </c>
      <c r="CY22" s="25">
        <v>5.8</v>
      </c>
      <c r="CZ22" s="25">
        <v>4.2460000000000004</v>
      </c>
      <c r="DA22" s="25">
        <v>4.609</v>
      </c>
      <c r="DB22" s="25">
        <v>16.622</v>
      </c>
      <c r="DC22" s="25">
        <v>15.955</v>
      </c>
      <c r="DD22" s="25">
        <v>8.11</v>
      </c>
      <c r="DE22" s="25">
        <v>17.256</v>
      </c>
      <c r="DF22" s="25">
        <v>5.8</v>
      </c>
      <c r="DG22" s="25">
        <v>8.32</v>
      </c>
      <c r="DH22" s="25">
        <v>33.856000000000002</v>
      </c>
      <c r="DI22" s="25">
        <v>5.8</v>
      </c>
      <c r="DJ22" s="25">
        <v>5.8</v>
      </c>
      <c r="DK22" s="25">
        <v>4.2169999999999996</v>
      </c>
      <c r="DL22" s="25">
        <v>5.8</v>
      </c>
      <c r="DM22" s="25">
        <v>17.256</v>
      </c>
      <c r="DN22" s="25">
        <v>5.8</v>
      </c>
      <c r="DO22" s="25">
        <v>5.8</v>
      </c>
      <c r="DP22" s="25">
        <v>5.8</v>
      </c>
      <c r="DQ22" s="25">
        <v>5.8</v>
      </c>
      <c r="DR22" s="25">
        <v>5.8</v>
      </c>
      <c r="DS22" s="25">
        <v>5.8</v>
      </c>
      <c r="DT22" s="25">
        <v>5.8</v>
      </c>
      <c r="DU22" s="25">
        <v>7.2270000000000003</v>
      </c>
      <c r="DV22" s="25">
        <v>5.8</v>
      </c>
      <c r="DW22" s="25">
        <v>8.8119999999999994</v>
      </c>
      <c r="DX22" s="25">
        <v>5.1520000000000001</v>
      </c>
      <c r="DY22" s="25">
        <v>5.8</v>
      </c>
      <c r="DZ22" s="25">
        <v>5.5209999999999999</v>
      </c>
      <c r="EA22" s="25">
        <v>5.8</v>
      </c>
      <c r="EB22" s="25">
        <v>8.2910000000000004</v>
      </c>
      <c r="EC22" s="25">
        <v>5.8</v>
      </c>
      <c r="ED22" s="25">
        <v>5.8</v>
      </c>
      <c r="EE22" s="25">
        <v>5.8</v>
      </c>
      <c r="EF22" s="25">
        <v>5.8</v>
      </c>
      <c r="EG22" s="25">
        <v>9.1329999999999991</v>
      </c>
      <c r="EH22" s="25">
        <v>10.115</v>
      </c>
      <c r="EI22" s="25">
        <v>5.8</v>
      </c>
      <c r="EJ22" s="25">
        <v>3.9790000000000001</v>
      </c>
      <c r="EK22" s="25">
        <v>5.8</v>
      </c>
      <c r="EL22" s="25">
        <v>5.8</v>
      </c>
      <c r="EM22" s="25">
        <v>2.7930000000000001</v>
      </c>
      <c r="EN22" s="25">
        <v>5.8</v>
      </c>
      <c r="EO22" s="25">
        <v>1.1890000000000001</v>
      </c>
      <c r="EP22" s="25">
        <v>5.8</v>
      </c>
      <c r="EQ22" s="25">
        <v>5.8</v>
      </c>
      <c r="ER22" s="25">
        <v>41.97</v>
      </c>
      <c r="ES22" s="25">
        <v>9.0510000000000002</v>
      </c>
      <c r="ET22" s="25">
        <v>5.8</v>
      </c>
      <c r="EU22" s="25">
        <v>5.8</v>
      </c>
      <c r="EV22" s="25">
        <v>5.8</v>
      </c>
      <c r="EW22" s="25"/>
    </row>
    <row r="23" spans="1:153" ht="17.25" customHeight="1" x14ac:dyDescent="0.25">
      <c r="A23" s="25" t="s">
        <v>142</v>
      </c>
      <c r="B23" s="25">
        <v>10.228999999999999</v>
      </c>
      <c r="C23" s="25">
        <v>11.176</v>
      </c>
      <c r="D23" s="25">
        <v>7.4320000000000004</v>
      </c>
      <c r="E23" s="25">
        <v>6.3769999999999998</v>
      </c>
      <c r="F23" s="25">
        <v>5.6920000000000002</v>
      </c>
      <c r="G23" s="25">
        <v>4.8760000000000003</v>
      </c>
      <c r="H23" s="25">
        <v>5.3680000000000003</v>
      </c>
      <c r="I23" s="25">
        <v>4.7329999999999997</v>
      </c>
      <c r="J23" s="25">
        <v>4.944</v>
      </c>
      <c r="K23" s="25">
        <v>5.2779999999999996</v>
      </c>
      <c r="L23" s="25">
        <v>6.1619999999999999</v>
      </c>
      <c r="M23" s="25">
        <v>8.4619999999999997</v>
      </c>
      <c r="N23" s="25">
        <v>6.9980000000000002</v>
      </c>
      <c r="O23" s="25">
        <v>5.0730000000000004</v>
      </c>
      <c r="P23" s="25">
        <v>4.0339999999999998</v>
      </c>
      <c r="Q23" s="25">
        <v>3.2519999999999998</v>
      </c>
      <c r="R23" s="25">
        <v>2.2160000000000002</v>
      </c>
      <c r="S23" s="25">
        <v>1.4630000000000001</v>
      </c>
      <c r="T23" s="25">
        <v>0.83099999999999996</v>
      </c>
      <c r="U23" s="25">
        <v>1.5640000000000001</v>
      </c>
      <c r="V23" s="25">
        <v>0.72699999999999998</v>
      </c>
      <c r="W23" s="25">
        <v>0</v>
      </c>
      <c r="X23" s="25">
        <v>9.7840000000000007</v>
      </c>
      <c r="Y23" s="25">
        <v>12.672000000000001</v>
      </c>
      <c r="Z23" s="25">
        <v>14.147</v>
      </c>
      <c r="AA23" s="25">
        <v>13.839</v>
      </c>
      <c r="AB23" s="25">
        <v>15.574</v>
      </c>
      <c r="AC23" s="25">
        <v>22.457000000000001</v>
      </c>
      <c r="AD23" s="25">
        <v>9.5380000000000003</v>
      </c>
      <c r="AE23" s="25">
        <v>10.201000000000001</v>
      </c>
      <c r="AF23" s="25">
        <v>6.1920000000000002</v>
      </c>
      <c r="AG23" s="25">
        <v>5.1859999999999999</v>
      </c>
      <c r="AH23" s="25">
        <v>11.176</v>
      </c>
      <c r="AI23" s="25">
        <v>5.0730000000000004</v>
      </c>
      <c r="AJ23" s="25">
        <v>5.3680000000000003</v>
      </c>
      <c r="AK23" s="25">
        <v>4.7329999999999997</v>
      </c>
      <c r="AL23" s="25">
        <v>3.2519999999999998</v>
      </c>
      <c r="AM23" s="25">
        <v>6.1929999999999996</v>
      </c>
      <c r="AN23" s="25">
        <v>5.28</v>
      </c>
      <c r="AO23" s="25">
        <v>5.0730000000000004</v>
      </c>
      <c r="AP23" s="25">
        <v>11.058</v>
      </c>
      <c r="AQ23" s="25">
        <v>10.747999999999999</v>
      </c>
      <c r="AR23" s="25">
        <v>5.0730000000000004</v>
      </c>
      <c r="AS23" s="25">
        <v>5.0730000000000004</v>
      </c>
      <c r="AT23" s="25">
        <v>5.0730000000000004</v>
      </c>
      <c r="AU23" s="25">
        <v>8.7279999999999998</v>
      </c>
      <c r="AV23" s="25">
        <v>5.0730000000000004</v>
      </c>
      <c r="AW23" s="25">
        <v>3.899</v>
      </c>
      <c r="AX23" s="25">
        <v>11.242000000000001</v>
      </c>
      <c r="AY23" s="25">
        <v>5.0730000000000004</v>
      </c>
      <c r="AZ23" s="25">
        <v>6.5469999999999997</v>
      </c>
      <c r="BA23" s="25">
        <v>5.0730000000000004</v>
      </c>
      <c r="BB23" s="25">
        <v>4.1369999999999996</v>
      </c>
      <c r="BC23" s="25">
        <v>5.0730000000000004</v>
      </c>
      <c r="BD23" s="25">
        <v>5.9710000000000001</v>
      </c>
      <c r="BE23" s="25">
        <v>5.0730000000000004</v>
      </c>
      <c r="BF23" s="25">
        <v>35.588999999999999</v>
      </c>
      <c r="BG23" s="25">
        <v>5.0730000000000004</v>
      </c>
      <c r="BH23" s="25">
        <v>5.0730000000000004</v>
      </c>
      <c r="BI23" s="25">
        <v>23.768000000000001</v>
      </c>
      <c r="BJ23" s="25">
        <v>5.0730000000000004</v>
      </c>
      <c r="BK23" s="25">
        <v>5.0730000000000004</v>
      </c>
      <c r="BL23" s="25">
        <v>5.0730000000000004</v>
      </c>
      <c r="BM23" s="25">
        <v>5.0730000000000004</v>
      </c>
      <c r="BN23" s="25">
        <v>5.0730000000000004</v>
      </c>
      <c r="BO23" s="25">
        <v>5.0730000000000004</v>
      </c>
      <c r="BP23" s="25">
        <v>1.5449999999999999</v>
      </c>
      <c r="BQ23" s="25">
        <v>5.585</v>
      </c>
      <c r="BR23" s="25">
        <v>5.0730000000000004</v>
      </c>
      <c r="BS23" s="25">
        <v>5.0730000000000004</v>
      </c>
      <c r="BT23" s="25">
        <v>5.0730000000000004</v>
      </c>
      <c r="BU23" s="25">
        <v>4.4740000000000002</v>
      </c>
      <c r="BV23" s="25">
        <v>5.0730000000000004</v>
      </c>
      <c r="BW23" s="25">
        <v>5.0730000000000004</v>
      </c>
      <c r="BX23" s="25">
        <v>4.7480000000000002</v>
      </c>
      <c r="BY23" s="25">
        <v>5.7089999999999996</v>
      </c>
      <c r="BZ23" s="25">
        <v>5.6230000000000002</v>
      </c>
      <c r="CA23" s="25">
        <v>5.0730000000000004</v>
      </c>
      <c r="CB23" s="25">
        <v>5.0730000000000004</v>
      </c>
      <c r="CC23" s="25">
        <v>11.766999999999999</v>
      </c>
      <c r="CD23" s="25">
        <v>12.672000000000001</v>
      </c>
      <c r="CE23" s="25">
        <v>5.0730000000000004</v>
      </c>
      <c r="CF23" s="25">
        <v>15.795999999999999</v>
      </c>
      <c r="CG23" s="25">
        <v>23.856000000000002</v>
      </c>
      <c r="CH23" s="25">
        <v>5.0730000000000004</v>
      </c>
      <c r="CI23" s="25">
        <v>5.0730000000000004</v>
      </c>
      <c r="CJ23" s="25">
        <v>5.0730000000000004</v>
      </c>
      <c r="CK23" s="25">
        <v>5.0730000000000004</v>
      </c>
      <c r="CL23" s="25">
        <v>5.0730000000000004</v>
      </c>
      <c r="CM23" s="25">
        <v>5.0730000000000004</v>
      </c>
      <c r="CN23" s="25">
        <v>5.0730000000000004</v>
      </c>
      <c r="CO23" s="25">
        <v>5.0730000000000004</v>
      </c>
      <c r="CP23" s="25">
        <v>5.0730000000000004</v>
      </c>
      <c r="CQ23" s="25">
        <v>5.0730000000000004</v>
      </c>
      <c r="CR23" s="25">
        <v>5.0730000000000004</v>
      </c>
      <c r="CS23" s="25">
        <v>42.468000000000004</v>
      </c>
      <c r="CT23" s="25">
        <v>5.0730000000000004</v>
      </c>
      <c r="CU23" s="25">
        <v>5.0730000000000004</v>
      </c>
      <c r="CV23" s="25">
        <v>4.266</v>
      </c>
      <c r="CW23" s="25">
        <v>5.0730000000000004</v>
      </c>
      <c r="CX23" s="25">
        <v>5.0730000000000004</v>
      </c>
      <c r="CY23" s="25">
        <v>5.0730000000000004</v>
      </c>
      <c r="CZ23" s="25">
        <v>3.7549999999999999</v>
      </c>
      <c r="DA23" s="25">
        <v>4.234</v>
      </c>
      <c r="DB23" s="25">
        <v>16.274999999999999</v>
      </c>
      <c r="DC23" s="25">
        <v>15.608000000000001</v>
      </c>
      <c r="DD23" s="25">
        <v>7.6189999999999998</v>
      </c>
      <c r="DE23" s="25">
        <v>16.751999999999999</v>
      </c>
      <c r="DF23" s="25">
        <v>5.0730000000000004</v>
      </c>
      <c r="DG23" s="25">
        <v>7.9729999999999999</v>
      </c>
      <c r="DH23" s="25">
        <v>33.51</v>
      </c>
      <c r="DI23" s="25">
        <v>5.0730000000000004</v>
      </c>
      <c r="DJ23" s="25">
        <v>5.0730000000000004</v>
      </c>
      <c r="DK23" s="25">
        <v>3.49</v>
      </c>
      <c r="DL23" s="25">
        <v>5.0730000000000004</v>
      </c>
      <c r="DM23" s="25">
        <v>16.751999999999999</v>
      </c>
      <c r="DN23" s="25">
        <v>5.0730000000000004</v>
      </c>
      <c r="DO23" s="25">
        <v>5.0730000000000004</v>
      </c>
      <c r="DP23" s="25">
        <v>5.0730000000000004</v>
      </c>
      <c r="DQ23" s="25">
        <v>5.0730000000000004</v>
      </c>
      <c r="DR23" s="25">
        <v>5.0730000000000004</v>
      </c>
      <c r="DS23" s="25">
        <v>5.0730000000000004</v>
      </c>
      <c r="DT23" s="25">
        <v>5.0730000000000004</v>
      </c>
      <c r="DU23" s="25">
        <v>10.231</v>
      </c>
      <c r="DV23" s="25">
        <v>5.0730000000000004</v>
      </c>
      <c r="DW23" s="25">
        <v>8.3079999999999998</v>
      </c>
      <c r="DX23" s="25">
        <v>5.8789999999999996</v>
      </c>
      <c r="DY23" s="25">
        <v>5.0730000000000004</v>
      </c>
      <c r="DZ23" s="25">
        <v>6.2480000000000002</v>
      </c>
      <c r="EA23" s="25">
        <v>5.0730000000000004</v>
      </c>
      <c r="EB23" s="25">
        <v>7.944</v>
      </c>
      <c r="EC23" s="25">
        <v>5.0730000000000004</v>
      </c>
      <c r="ED23" s="25">
        <v>5.0730000000000004</v>
      </c>
      <c r="EE23" s="25">
        <v>5.0730000000000004</v>
      </c>
      <c r="EF23" s="25">
        <v>5.0730000000000004</v>
      </c>
      <c r="EG23" s="25">
        <v>8.7859999999999996</v>
      </c>
      <c r="EH23" s="25">
        <v>9.3879999999999999</v>
      </c>
      <c r="EI23" s="25">
        <v>5.0730000000000004</v>
      </c>
      <c r="EJ23" s="25">
        <v>3.2519999999999998</v>
      </c>
      <c r="EK23" s="25">
        <v>5.0730000000000004</v>
      </c>
      <c r="EL23" s="25">
        <v>5.0730000000000004</v>
      </c>
      <c r="EM23" s="25">
        <v>2.0659999999999998</v>
      </c>
      <c r="EN23" s="25">
        <v>5.0730000000000004</v>
      </c>
      <c r="EO23" s="25">
        <v>0.69699999999999995</v>
      </c>
      <c r="EP23" s="25">
        <v>5.0730000000000004</v>
      </c>
      <c r="EQ23" s="25">
        <v>5.0730000000000004</v>
      </c>
      <c r="ER23" s="25">
        <v>41.624000000000002</v>
      </c>
      <c r="ES23" s="25">
        <v>9.6039999999999992</v>
      </c>
      <c r="ET23" s="25">
        <v>5.0730000000000004</v>
      </c>
      <c r="EU23" s="25">
        <v>5.0730000000000004</v>
      </c>
      <c r="EV23" s="25">
        <v>5.0730000000000004</v>
      </c>
      <c r="EW23" s="25"/>
    </row>
    <row r="24" spans="1:153" ht="17.25" customHeight="1" x14ac:dyDescent="0.25">
      <c r="A24" s="25" t="s">
        <v>143</v>
      </c>
      <c r="B24" s="25">
        <v>18.317</v>
      </c>
      <c r="C24" s="25">
        <v>19.263999999999999</v>
      </c>
      <c r="D24" s="25">
        <v>13.186999999999999</v>
      </c>
      <c r="E24" s="25">
        <v>11.8</v>
      </c>
      <c r="F24" s="25">
        <v>13.78</v>
      </c>
      <c r="G24" s="25">
        <v>9.9039999999999999</v>
      </c>
      <c r="H24" s="25">
        <v>9.1509999999999998</v>
      </c>
      <c r="I24" s="25">
        <v>7.9180000000000001</v>
      </c>
      <c r="J24" s="25">
        <v>7.7220000000000004</v>
      </c>
      <c r="K24" s="25">
        <v>6.923</v>
      </c>
      <c r="L24" s="25">
        <v>6.157</v>
      </c>
      <c r="M24" s="25">
        <v>12.257999999999999</v>
      </c>
      <c r="N24" s="25">
        <v>10.89</v>
      </c>
      <c r="O24" s="25">
        <v>9.4450000000000003</v>
      </c>
      <c r="P24" s="25">
        <v>9.984</v>
      </c>
      <c r="Q24" s="25">
        <v>11.343</v>
      </c>
      <c r="R24" s="25">
        <v>10.307</v>
      </c>
      <c r="S24" s="25">
        <v>9.5540000000000003</v>
      </c>
      <c r="T24" s="25">
        <v>9.8170000000000002</v>
      </c>
      <c r="U24" s="25">
        <v>9.9329999999999998</v>
      </c>
      <c r="V24" s="25">
        <v>10.974</v>
      </c>
      <c r="W24" s="25">
        <v>10.247</v>
      </c>
      <c r="X24" s="25">
        <v>0</v>
      </c>
      <c r="Y24" s="25">
        <v>20.76</v>
      </c>
      <c r="Z24" s="25">
        <v>22.234999999999999</v>
      </c>
      <c r="AA24" s="25">
        <v>21.925999999999998</v>
      </c>
      <c r="AB24" s="25">
        <v>23.661000000000001</v>
      </c>
      <c r="AC24" s="25">
        <v>30.544</v>
      </c>
      <c r="AD24" s="25">
        <v>2.0230000000000001</v>
      </c>
      <c r="AE24" s="25">
        <v>18.289000000000001</v>
      </c>
      <c r="AF24" s="25">
        <v>3.4350000000000001</v>
      </c>
      <c r="AG24" s="25">
        <v>4.7530000000000001</v>
      </c>
      <c r="AH24" s="25">
        <v>19.263999999999999</v>
      </c>
      <c r="AI24" s="25">
        <v>9.4450000000000003</v>
      </c>
      <c r="AJ24" s="25">
        <v>9.1509999999999998</v>
      </c>
      <c r="AK24" s="25">
        <v>7.9180000000000001</v>
      </c>
      <c r="AL24" s="25">
        <v>11.343</v>
      </c>
      <c r="AM24" s="25">
        <v>4.55</v>
      </c>
      <c r="AN24" s="25">
        <v>12.372</v>
      </c>
      <c r="AO24" s="25">
        <v>9.4450000000000003</v>
      </c>
      <c r="AP24" s="25">
        <v>19.146000000000001</v>
      </c>
      <c r="AQ24" s="25">
        <v>18.835999999999999</v>
      </c>
      <c r="AR24" s="25">
        <v>9.4450000000000003</v>
      </c>
      <c r="AS24" s="25">
        <v>9.4450000000000003</v>
      </c>
      <c r="AT24" s="25">
        <v>9.4450000000000003</v>
      </c>
      <c r="AU24" s="25">
        <v>13.526999999999999</v>
      </c>
      <c r="AV24" s="25">
        <v>9.4450000000000003</v>
      </c>
      <c r="AW24" s="25">
        <v>12.132999999999999</v>
      </c>
      <c r="AX24" s="25">
        <v>15.071999999999999</v>
      </c>
      <c r="AY24" s="25">
        <v>9.4450000000000003</v>
      </c>
      <c r="AZ24" s="25">
        <v>10.439</v>
      </c>
      <c r="BA24" s="25">
        <v>9.4450000000000003</v>
      </c>
      <c r="BB24" s="25">
        <v>10.054</v>
      </c>
      <c r="BC24" s="25">
        <v>9.4450000000000003</v>
      </c>
      <c r="BD24" s="25">
        <v>9.8629999999999995</v>
      </c>
      <c r="BE24" s="25">
        <v>9.4450000000000003</v>
      </c>
      <c r="BF24" s="25">
        <v>43.676000000000002</v>
      </c>
      <c r="BG24" s="25">
        <v>9.4450000000000003</v>
      </c>
      <c r="BH24" s="25">
        <v>9.4450000000000003</v>
      </c>
      <c r="BI24" s="25">
        <v>31.856000000000002</v>
      </c>
      <c r="BJ24" s="25">
        <v>9.4450000000000003</v>
      </c>
      <c r="BK24" s="25">
        <v>9.4450000000000003</v>
      </c>
      <c r="BL24" s="25">
        <v>9.4450000000000003</v>
      </c>
      <c r="BM24" s="25">
        <v>9.4450000000000003</v>
      </c>
      <c r="BN24" s="25">
        <v>9.4450000000000003</v>
      </c>
      <c r="BO24" s="25">
        <v>9.4450000000000003</v>
      </c>
      <c r="BP24" s="25">
        <v>11.792</v>
      </c>
      <c r="BQ24" s="25">
        <v>13.673</v>
      </c>
      <c r="BR24" s="25">
        <v>9.4450000000000003</v>
      </c>
      <c r="BS24" s="25">
        <v>9.4450000000000003</v>
      </c>
      <c r="BT24" s="25">
        <v>9.4450000000000003</v>
      </c>
      <c r="BU24" s="25">
        <v>13.920999999999999</v>
      </c>
      <c r="BV24" s="25">
        <v>9.4450000000000003</v>
      </c>
      <c r="BW24" s="25">
        <v>9.4450000000000003</v>
      </c>
      <c r="BX24" s="25">
        <v>6.7990000000000004</v>
      </c>
      <c r="BY24" s="25">
        <v>11.487</v>
      </c>
      <c r="BZ24" s="25">
        <v>11.925000000000001</v>
      </c>
      <c r="CA24" s="25">
        <v>9.4450000000000003</v>
      </c>
      <c r="CB24" s="25">
        <v>9.4450000000000003</v>
      </c>
      <c r="CC24" s="25">
        <v>19.855</v>
      </c>
      <c r="CD24" s="25">
        <v>20.76</v>
      </c>
      <c r="CE24" s="25">
        <v>9.4450000000000003</v>
      </c>
      <c r="CF24" s="25">
        <v>23.882999999999999</v>
      </c>
      <c r="CG24" s="25">
        <v>31.943000000000001</v>
      </c>
      <c r="CH24" s="25">
        <v>9.4450000000000003</v>
      </c>
      <c r="CI24" s="25">
        <v>9.4450000000000003</v>
      </c>
      <c r="CJ24" s="25">
        <v>9.4450000000000003</v>
      </c>
      <c r="CK24" s="25">
        <v>9.4450000000000003</v>
      </c>
      <c r="CL24" s="25">
        <v>9.4450000000000003</v>
      </c>
      <c r="CM24" s="25">
        <v>9.4450000000000003</v>
      </c>
      <c r="CN24" s="25">
        <v>9.4450000000000003</v>
      </c>
      <c r="CO24" s="25">
        <v>9.4450000000000003</v>
      </c>
      <c r="CP24" s="25">
        <v>9.4450000000000003</v>
      </c>
      <c r="CQ24" s="25">
        <v>9.4450000000000003</v>
      </c>
      <c r="CR24" s="25">
        <v>9.4450000000000003</v>
      </c>
      <c r="CS24" s="25">
        <v>50.555999999999997</v>
      </c>
      <c r="CT24" s="25">
        <v>9.4450000000000003</v>
      </c>
      <c r="CU24" s="25">
        <v>9.4450000000000003</v>
      </c>
      <c r="CV24" s="25">
        <v>7.8680000000000003</v>
      </c>
      <c r="CW24" s="25">
        <v>9.4450000000000003</v>
      </c>
      <c r="CX24" s="25">
        <v>9.4450000000000003</v>
      </c>
      <c r="CY24" s="25">
        <v>9.4450000000000003</v>
      </c>
      <c r="CZ24" s="25">
        <v>13.202</v>
      </c>
      <c r="DA24" s="25">
        <v>12.324999999999999</v>
      </c>
      <c r="DB24" s="25">
        <v>24.363</v>
      </c>
      <c r="DC24" s="25">
        <v>23.696000000000002</v>
      </c>
      <c r="DD24" s="25">
        <v>13.207000000000001</v>
      </c>
      <c r="DE24" s="25">
        <v>12.907</v>
      </c>
      <c r="DF24" s="25">
        <v>9.4450000000000003</v>
      </c>
      <c r="DG24" s="25">
        <v>16.061</v>
      </c>
      <c r="DH24" s="25">
        <v>41.597000000000001</v>
      </c>
      <c r="DI24" s="25">
        <v>9.4450000000000003</v>
      </c>
      <c r="DJ24" s="25">
        <v>9.4450000000000003</v>
      </c>
      <c r="DK24" s="25">
        <v>9.8339999999999996</v>
      </c>
      <c r="DL24" s="25">
        <v>9.4450000000000003</v>
      </c>
      <c r="DM24" s="25">
        <v>12.907</v>
      </c>
      <c r="DN24" s="25">
        <v>9.4450000000000003</v>
      </c>
      <c r="DO24" s="25">
        <v>9.4450000000000003</v>
      </c>
      <c r="DP24" s="25">
        <v>9.4450000000000003</v>
      </c>
      <c r="DQ24" s="25">
        <v>9.4450000000000003</v>
      </c>
      <c r="DR24" s="25">
        <v>9.4450000000000003</v>
      </c>
      <c r="DS24" s="25">
        <v>9.4450000000000003</v>
      </c>
      <c r="DT24" s="25">
        <v>9.4450000000000003</v>
      </c>
      <c r="DU24" s="25">
        <v>18.318999999999999</v>
      </c>
      <c r="DV24" s="25">
        <v>9.4450000000000003</v>
      </c>
      <c r="DW24" s="25">
        <v>1.7829999999999999</v>
      </c>
      <c r="DX24" s="25">
        <v>8.6739999999999995</v>
      </c>
      <c r="DY24" s="25">
        <v>9.4450000000000003</v>
      </c>
      <c r="DZ24" s="25">
        <v>8.9390000000000001</v>
      </c>
      <c r="EA24" s="25">
        <v>9.4450000000000003</v>
      </c>
      <c r="EB24" s="25">
        <v>16.032</v>
      </c>
      <c r="EC24" s="25">
        <v>9.4450000000000003</v>
      </c>
      <c r="ED24" s="25">
        <v>9.4450000000000003</v>
      </c>
      <c r="EE24" s="25">
        <v>9.4450000000000003</v>
      </c>
      <c r="EF24" s="25">
        <v>9.4450000000000003</v>
      </c>
      <c r="EG24" s="25">
        <v>16.873999999999999</v>
      </c>
      <c r="EH24" s="25">
        <v>9.3170000000000002</v>
      </c>
      <c r="EI24" s="25">
        <v>9.4450000000000003</v>
      </c>
      <c r="EJ24" s="25">
        <v>11.343</v>
      </c>
      <c r="EK24" s="25">
        <v>9.4450000000000003</v>
      </c>
      <c r="EL24" s="25">
        <v>9.4450000000000003</v>
      </c>
      <c r="EM24" s="25">
        <v>10.054</v>
      </c>
      <c r="EN24" s="25">
        <v>9.4450000000000003</v>
      </c>
      <c r="EO24" s="25">
        <v>10.641</v>
      </c>
      <c r="EP24" s="25">
        <v>9.4450000000000003</v>
      </c>
      <c r="EQ24" s="25">
        <v>9.4450000000000003</v>
      </c>
      <c r="ER24" s="25">
        <v>49.710999999999999</v>
      </c>
      <c r="ES24" s="25">
        <v>1.3740000000000001</v>
      </c>
      <c r="ET24" s="25">
        <v>9.4450000000000003</v>
      </c>
      <c r="EU24" s="25">
        <v>9.4450000000000003</v>
      </c>
      <c r="EV24" s="25">
        <v>9.4450000000000003</v>
      </c>
      <c r="EW24" s="25"/>
    </row>
    <row r="25" spans="1:153" ht="17.25" customHeight="1" x14ac:dyDescent="0.25">
      <c r="A25" s="25" t="s">
        <v>144</v>
      </c>
      <c r="B25" s="25">
        <v>3.9260000000000002</v>
      </c>
      <c r="C25" s="25">
        <v>4.9660000000000002</v>
      </c>
      <c r="D25" s="25">
        <v>5.8689999999999998</v>
      </c>
      <c r="E25" s="25">
        <v>8.4179999999999993</v>
      </c>
      <c r="F25" s="25">
        <v>8.7080000000000002</v>
      </c>
      <c r="G25" s="25">
        <v>9.67</v>
      </c>
      <c r="H25" s="25">
        <v>10.063000000000001</v>
      </c>
      <c r="I25" s="25">
        <v>11.090999999999999</v>
      </c>
      <c r="J25" s="25">
        <v>11.348000000000001</v>
      </c>
      <c r="K25" s="25">
        <v>19.138000000000002</v>
      </c>
      <c r="L25" s="25">
        <v>18.373000000000001</v>
      </c>
      <c r="M25" s="25">
        <v>10.493</v>
      </c>
      <c r="N25" s="25">
        <v>10.430999999999999</v>
      </c>
      <c r="O25" s="25">
        <v>9.7850000000000001</v>
      </c>
      <c r="P25" s="25">
        <v>13.233000000000001</v>
      </c>
      <c r="Q25" s="25">
        <v>12.451000000000001</v>
      </c>
      <c r="R25" s="25">
        <v>11.414</v>
      </c>
      <c r="S25" s="25">
        <v>10.661</v>
      </c>
      <c r="T25" s="25">
        <v>11.167</v>
      </c>
      <c r="U25" s="25">
        <v>13.071999999999999</v>
      </c>
      <c r="V25" s="25">
        <v>12.654999999999999</v>
      </c>
      <c r="W25" s="25">
        <v>11.928000000000001</v>
      </c>
      <c r="X25" s="25">
        <v>20.346</v>
      </c>
      <c r="Y25" s="25">
        <v>0</v>
      </c>
      <c r="Z25" s="25">
        <v>2.2949999999999999</v>
      </c>
      <c r="AA25" s="25">
        <v>4.6109999999999998</v>
      </c>
      <c r="AB25" s="25">
        <v>6.3460000000000001</v>
      </c>
      <c r="AC25" s="25">
        <v>11.255000000000001</v>
      </c>
      <c r="AD25" s="25">
        <v>20.100000000000001</v>
      </c>
      <c r="AE25" s="25">
        <v>3.7440000000000002</v>
      </c>
      <c r="AF25" s="25">
        <v>16.68</v>
      </c>
      <c r="AG25" s="25">
        <v>16.969000000000001</v>
      </c>
      <c r="AH25" s="25">
        <v>4.9660000000000002</v>
      </c>
      <c r="AI25" s="25">
        <v>9.7850000000000001</v>
      </c>
      <c r="AJ25" s="25">
        <v>10.063000000000001</v>
      </c>
      <c r="AK25" s="25">
        <v>11.090999999999999</v>
      </c>
      <c r="AL25" s="25">
        <v>12.451000000000001</v>
      </c>
      <c r="AM25" s="25">
        <v>16.771999999999998</v>
      </c>
      <c r="AN25" s="25">
        <v>16.649000000000001</v>
      </c>
      <c r="AO25" s="25">
        <v>9.7850000000000001</v>
      </c>
      <c r="AP25" s="25">
        <v>2.508</v>
      </c>
      <c r="AQ25" s="25">
        <v>5.42</v>
      </c>
      <c r="AR25" s="25">
        <v>9.7850000000000001</v>
      </c>
      <c r="AS25" s="25">
        <v>9.7850000000000001</v>
      </c>
      <c r="AT25" s="25">
        <v>9.7850000000000001</v>
      </c>
      <c r="AU25" s="25">
        <v>6.5389999999999997</v>
      </c>
      <c r="AV25" s="25">
        <v>9.7850000000000001</v>
      </c>
      <c r="AW25" s="25">
        <v>10.869</v>
      </c>
      <c r="AX25" s="25">
        <v>13.273</v>
      </c>
      <c r="AY25" s="25">
        <v>9.7850000000000001</v>
      </c>
      <c r="AZ25" s="25">
        <v>10.875</v>
      </c>
      <c r="BA25" s="25">
        <v>9.7850000000000001</v>
      </c>
      <c r="BB25" s="25">
        <v>10.657999999999999</v>
      </c>
      <c r="BC25" s="25">
        <v>9.7850000000000001</v>
      </c>
      <c r="BD25" s="25">
        <v>10.298999999999999</v>
      </c>
      <c r="BE25" s="25">
        <v>9.7850000000000001</v>
      </c>
      <c r="BF25" s="25">
        <v>28.484999999999999</v>
      </c>
      <c r="BG25" s="25">
        <v>9.7850000000000001</v>
      </c>
      <c r="BH25" s="25">
        <v>9.7850000000000001</v>
      </c>
      <c r="BI25" s="25">
        <v>22.36</v>
      </c>
      <c r="BJ25" s="25">
        <v>9.7850000000000001</v>
      </c>
      <c r="BK25" s="25">
        <v>9.7850000000000001</v>
      </c>
      <c r="BL25" s="25">
        <v>9.7850000000000001</v>
      </c>
      <c r="BM25" s="25">
        <v>9.7850000000000001</v>
      </c>
      <c r="BN25" s="25">
        <v>9.7850000000000001</v>
      </c>
      <c r="BO25" s="25">
        <v>9.7850000000000001</v>
      </c>
      <c r="BP25" s="25">
        <v>12.643000000000001</v>
      </c>
      <c r="BQ25" s="25">
        <v>8.782</v>
      </c>
      <c r="BR25" s="25">
        <v>9.7850000000000001</v>
      </c>
      <c r="BS25" s="25">
        <v>9.7850000000000001</v>
      </c>
      <c r="BT25" s="25">
        <v>9.7850000000000001</v>
      </c>
      <c r="BU25" s="25">
        <v>14.465999999999999</v>
      </c>
      <c r="BV25" s="25">
        <v>9.7850000000000001</v>
      </c>
      <c r="BW25" s="25">
        <v>9.7850000000000001</v>
      </c>
      <c r="BX25" s="25">
        <v>14.993</v>
      </c>
      <c r="BY25" s="25">
        <v>8.4819999999999993</v>
      </c>
      <c r="BZ25" s="25">
        <v>8.5470000000000006</v>
      </c>
      <c r="CA25" s="25">
        <v>9.7850000000000001</v>
      </c>
      <c r="CB25" s="25">
        <v>9.7850000000000001</v>
      </c>
      <c r="CC25" s="25">
        <v>1.84</v>
      </c>
      <c r="CD25" s="25">
        <v>0</v>
      </c>
      <c r="CE25" s="25">
        <v>9.7850000000000001</v>
      </c>
      <c r="CF25" s="25">
        <v>8.2530000000000001</v>
      </c>
      <c r="CG25" s="25">
        <v>12.977</v>
      </c>
      <c r="CH25" s="25">
        <v>9.7850000000000001</v>
      </c>
      <c r="CI25" s="25">
        <v>9.7850000000000001</v>
      </c>
      <c r="CJ25" s="25">
        <v>9.7850000000000001</v>
      </c>
      <c r="CK25" s="25">
        <v>9.7850000000000001</v>
      </c>
      <c r="CL25" s="25">
        <v>9.7850000000000001</v>
      </c>
      <c r="CM25" s="25">
        <v>9.7850000000000001</v>
      </c>
      <c r="CN25" s="25">
        <v>9.7850000000000001</v>
      </c>
      <c r="CO25" s="25">
        <v>9.7850000000000001</v>
      </c>
      <c r="CP25" s="25">
        <v>9.7850000000000001</v>
      </c>
      <c r="CQ25" s="25">
        <v>9.7850000000000001</v>
      </c>
      <c r="CR25" s="25">
        <v>9.7850000000000001</v>
      </c>
      <c r="CS25" s="25">
        <v>41.058999999999997</v>
      </c>
      <c r="CT25" s="25">
        <v>9.7850000000000001</v>
      </c>
      <c r="CU25" s="25">
        <v>9.7850000000000001</v>
      </c>
      <c r="CV25" s="25">
        <v>13.571999999999999</v>
      </c>
      <c r="CW25" s="25">
        <v>9.7850000000000001</v>
      </c>
      <c r="CX25" s="25">
        <v>9.7850000000000001</v>
      </c>
      <c r="CY25" s="25">
        <v>9.7850000000000001</v>
      </c>
      <c r="CZ25" s="25">
        <v>13.747</v>
      </c>
      <c r="DA25" s="25">
        <v>12.647</v>
      </c>
      <c r="DB25" s="25">
        <v>4.423</v>
      </c>
      <c r="DC25" s="25">
        <v>3.7559999999999998</v>
      </c>
      <c r="DD25" s="25">
        <v>6.8639999999999999</v>
      </c>
      <c r="DE25" s="25">
        <v>27</v>
      </c>
      <c r="DF25" s="25">
        <v>9.7850000000000001</v>
      </c>
      <c r="DG25" s="25">
        <v>4.5960000000000001</v>
      </c>
      <c r="DH25" s="25">
        <v>26.405999999999999</v>
      </c>
      <c r="DI25" s="25">
        <v>9.7850000000000001</v>
      </c>
      <c r="DJ25" s="25">
        <v>9.7850000000000001</v>
      </c>
      <c r="DK25" s="25">
        <v>12.605</v>
      </c>
      <c r="DL25" s="25">
        <v>9.7850000000000001</v>
      </c>
      <c r="DM25" s="25">
        <v>27</v>
      </c>
      <c r="DN25" s="25">
        <v>9.7850000000000001</v>
      </c>
      <c r="DO25" s="25">
        <v>9.7850000000000001</v>
      </c>
      <c r="DP25" s="25">
        <v>9.7850000000000001</v>
      </c>
      <c r="DQ25" s="25">
        <v>9.7850000000000001</v>
      </c>
      <c r="DR25" s="25">
        <v>9.7850000000000001</v>
      </c>
      <c r="DS25" s="25">
        <v>9.7850000000000001</v>
      </c>
      <c r="DT25" s="25">
        <v>9.7850000000000001</v>
      </c>
      <c r="DU25" s="25">
        <v>6.0019999999999998</v>
      </c>
      <c r="DV25" s="25">
        <v>9.7850000000000001</v>
      </c>
      <c r="DW25" s="25">
        <v>18.87</v>
      </c>
      <c r="DX25" s="25">
        <v>21.433</v>
      </c>
      <c r="DY25" s="25">
        <v>9.7850000000000001</v>
      </c>
      <c r="DZ25" s="25">
        <v>21.698</v>
      </c>
      <c r="EA25" s="25">
        <v>9.7850000000000001</v>
      </c>
      <c r="EB25" s="25">
        <v>4.5670000000000002</v>
      </c>
      <c r="EC25" s="25">
        <v>9.7850000000000001</v>
      </c>
      <c r="ED25" s="25">
        <v>9.7850000000000001</v>
      </c>
      <c r="EE25" s="25">
        <v>9.7850000000000001</v>
      </c>
      <c r="EF25" s="25">
        <v>9.7850000000000001</v>
      </c>
      <c r="EG25" s="25">
        <v>4.5570000000000004</v>
      </c>
      <c r="EH25" s="25">
        <v>21.838000000000001</v>
      </c>
      <c r="EI25" s="25">
        <v>9.7850000000000001</v>
      </c>
      <c r="EJ25" s="25">
        <v>12.451000000000001</v>
      </c>
      <c r="EK25" s="25">
        <v>9.7850000000000001</v>
      </c>
      <c r="EL25" s="25">
        <v>9.7850000000000001</v>
      </c>
      <c r="EM25" s="25">
        <v>11.872</v>
      </c>
      <c r="EN25" s="25">
        <v>9.7850000000000001</v>
      </c>
      <c r="EO25" s="25">
        <v>11.185</v>
      </c>
      <c r="EP25" s="25">
        <v>9.7850000000000001</v>
      </c>
      <c r="EQ25" s="25">
        <v>9.7850000000000001</v>
      </c>
      <c r="ER25" s="25">
        <v>34.520000000000003</v>
      </c>
      <c r="ES25" s="25">
        <v>20.888999999999999</v>
      </c>
      <c r="ET25" s="25">
        <v>9.7850000000000001</v>
      </c>
      <c r="EU25" s="25">
        <v>9.7850000000000001</v>
      </c>
      <c r="EV25" s="25">
        <v>9.7850000000000001</v>
      </c>
      <c r="EW25" s="25"/>
    </row>
    <row r="26" spans="1:153" ht="17.25" customHeight="1" x14ac:dyDescent="0.25">
      <c r="A26" s="25" t="s">
        <v>145</v>
      </c>
      <c r="B26" s="25">
        <v>6.3449999999999998</v>
      </c>
      <c r="C26" s="25">
        <v>7.3849999999999998</v>
      </c>
      <c r="D26" s="25">
        <v>8.2880000000000003</v>
      </c>
      <c r="E26" s="25">
        <v>10.836</v>
      </c>
      <c r="F26" s="25">
        <v>11.127000000000001</v>
      </c>
      <c r="G26" s="25">
        <v>17.114999999999998</v>
      </c>
      <c r="H26" s="25">
        <v>17.606999999999999</v>
      </c>
      <c r="I26" s="25">
        <v>17.372</v>
      </c>
      <c r="J26" s="25">
        <v>22.978000000000002</v>
      </c>
      <c r="K26" s="25">
        <v>22.178999999999998</v>
      </c>
      <c r="L26" s="25">
        <v>21.414000000000001</v>
      </c>
      <c r="M26" s="25">
        <v>12.912000000000001</v>
      </c>
      <c r="N26" s="25">
        <v>12.85</v>
      </c>
      <c r="O26" s="25">
        <v>17.312000000000001</v>
      </c>
      <c r="P26" s="25">
        <v>16.273</v>
      </c>
      <c r="Q26" s="25">
        <v>15.491</v>
      </c>
      <c r="R26" s="25">
        <v>14.454000000000001</v>
      </c>
      <c r="S26" s="25">
        <v>13.701000000000001</v>
      </c>
      <c r="T26" s="25">
        <v>14.207000000000001</v>
      </c>
      <c r="U26" s="25">
        <v>16.111999999999998</v>
      </c>
      <c r="V26" s="25">
        <v>15.695</v>
      </c>
      <c r="W26" s="25">
        <v>14.968</v>
      </c>
      <c r="X26" s="25">
        <v>23.387</v>
      </c>
      <c r="Y26" s="25">
        <v>2.4180000000000001</v>
      </c>
      <c r="Z26" s="25">
        <v>0</v>
      </c>
      <c r="AA26" s="25">
        <v>2.3159999999999998</v>
      </c>
      <c r="AB26" s="25">
        <v>4.0510000000000002</v>
      </c>
      <c r="AC26" s="25">
        <v>9.32</v>
      </c>
      <c r="AD26" s="25">
        <v>23.140999999999998</v>
      </c>
      <c r="AE26" s="25">
        <v>6.6529999999999996</v>
      </c>
      <c r="AF26" s="25">
        <v>19.721</v>
      </c>
      <c r="AG26" s="25">
        <v>20.010000000000002</v>
      </c>
      <c r="AH26" s="25">
        <v>7.3849999999999998</v>
      </c>
      <c r="AI26" s="25">
        <v>17.312000000000001</v>
      </c>
      <c r="AJ26" s="25">
        <v>17.606999999999999</v>
      </c>
      <c r="AK26" s="25">
        <v>17.372</v>
      </c>
      <c r="AL26" s="25">
        <v>15.491</v>
      </c>
      <c r="AM26" s="25">
        <v>19.812999999999999</v>
      </c>
      <c r="AN26" s="25">
        <v>19.689</v>
      </c>
      <c r="AO26" s="25">
        <v>17.312000000000001</v>
      </c>
      <c r="AP26" s="25">
        <v>4.9269999999999996</v>
      </c>
      <c r="AQ26" s="25">
        <v>9.1010000000000009</v>
      </c>
      <c r="AR26" s="25">
        <v>17.312000000000001</v>
      </c>
      <c r="AS26" s="25">
        <v>17.312000000000001</v>
      </c>
      <c r="AT26" s="25">
        <v>17.312000000000001</v>
      </c>
      <c r="AU26" s="25">
        <v>8.9580000000000002</v>
      </c>
      <c r="AV26" s="25">
        <v>17.312000000000001</v>
      </c>
      <c r="AW26" s="25">
        <v>13.909000000000001</v>
      </c>
      <c r="AX26" s="25">
        <v>15.692</v>
      </c>
      <c r="AY26" s="25">
        <v>17.312000000000001</v>
      </c>
      <c r="AZ26" s="25">
        <v>13.294</v>
      </c>
      <c r="BA26" s="25">
        <v>17.312000000000001</v>
      </c>
      <c r="BB26" s="25">
        <v>16.376000000000001</v>
      </c>
      <c r="BC26" s="25">
        <v>17.312000000000001</v>
      </c>
      <c r="BD26" s="25">
        <v>12.718</v>
      </c>
      <c r="BE26" s="25">
        <v>17.312000000000001</v>
      </c>
      <c r="BF26" s="25">
        <v>26.19</v>
      </c>
      <c r="BG26" s="25">
        <v>17.312000000000001</v>
      </c>
      <c r="BH26" s="25">
        <v>17.312000000000001</v>
      </c>
      <c r="BI26" s="25">
        <v>14.153</v>
      </c>
      <c r="BJ26" s="25">
        <v>17.312000000000001</v>
      </c>
      <c r="BK26" s="25">
        <v>17.312000000000001</v>
      </c>
      <c r="BL26" s="25">
        <v>17.312000000000001</v>
      </c>
      <c r="BM26" s="25">
        <v>17.312000000000001</v>
      </c>
      <c r="BN26" s="25">
        <v>17.312000000000001</v>
      </c>
      <c r="BO26" s="25">
        <v>17.312000000000001</v>
      </c>
      <c r="BP26" s="25">
        <v>15.683</v>
      </c>
      <c r="BQ26" s="25">
        <v>11.238</v>
      </c>
      <c r="BR26" s="25">
        <v>17.312000000000001</v>
      </c>
      <c r="BS26" s="25">
        <v>17.312000000000001</v>
      </c>
      <c r="BT26" s="25">
        <v>17.312000000000001</v>
      </c>
      <c r="BU26" s="25">
        <v>12.545999999999999</v>
      </c>
      <c r="BV26" s="25">
        <v>17.312000000000001</v>
      </c>
      <c r="BW26" s="25">
        <v>17.312000000000001</v>
      </c>
      <c r="BX26" s="25">
        <v>18.033000000000001</v>
      </c>
      <c r="BY26" s="25">
        <v>10.901</v>
      </c>
      <c r="BZ26" s="25">
        <v>11.276</v>
      </c>
      <c r="CA26" s="25">
        <v>17.312000000000001</v>
      </c>
      <c r="CB26" s="25">
        <v>17.312000000000001</v>
      </c>
      <c r="CC26" s="25">
        <v>4.258</v>
      </c>
      <c r="CD26" s="25">
        <v>2.4180000000000001</v>
      </c>
      <c r="CE26" s="25">
        <v>17.312000000000001</v>
      </c>
      <c r="CF26" s="25">
        <v>5.6689999999999996</v>
      </c>
      <c r="CG26" s="25">
        <v>11.042</v>
      </c>
      <c r="CH26" s="25">
        <v>17.312000000000001</v>
      </c>
      <c r="CI26" s="25">
        <v>17.312000000000001</v>
      </c>
      <c r="CJ26" s="25">
        <v>17.312000000000001</v>
      </c>
      <c r="CK26" s="25">
        <v>17.312000000000001</v>
      </c>
      <c r="CL26" s="25">
        <v>17.312000000000001</v>
      </c>
      <c r="CM26" s="25">
        <v>17.312000000000001</v>
      </c>
      <c r="CN26" s="25">
        <v>17.312000000000001</v>
      </c>
      <c r="CO26" s="25">
        <v>17.312000000000001</v>
      </c>
      <c r="CP26" s="25">
        <v>17.312000000000001</v>
      </c>
      <c r="CQ26" s="25">
        <v>17.312000000000001</v>
      </c>
      <c r="CR26" s="25">
        <v>17.312000000000001</v>
      </c>
      <c r="CS26" s="25">
        <v>37.700000000000003</v>
      </c>
      <c r="CT26" s="25">
        <v>17.312000000000001</v>
      </c>
      <c r="CU26" s="25">
        <v>17.312000000000001</v>
      </c>
      <c r="CV26" s="25">
        <v>16.611999999999998</v>
      </c>
      <c r="CW26" s="25">
        <v>17.312000000000001</v>
      </c>
      <c r="CX26" s="25">
        <v>17.312000000000001</v>
      </c>
      <c r="CY26" s="25">
        <v>17.312000000000001</v>
      </c>
      <c r="CZ26" s="25">
        <v>11.827</v>
      </c>
      <c r="DA26" s="25">
        <v>15.686999999999999</v>
      </c>
      <c r="DB26" s="25">
        <v>3.4889999999999999</v>
      </c>
      <c r="DC26" s="25">
        <v>2.8220000000000001</v>
      </c>
      <c r="DD26" s="25">
        <v>9.2829999999999995</v>
      </c>
      <c r="DE26" s="25">
        <v>30.041</v>
      </c>
      <c r="DF26" s="25">
        <v>17.312000000000001</v>
      </c>
      <c r="DG26" s="25">
        <v>8.6880000000000006</v>
      </c>
      <c r="DH26" s="25">
        <v>24.111000000000001</v>
      </c>
      <c r="DI26" s="25">
        <v>17.312000000000001</v>
      </c>
      <c r="DJ26" s="25">
        <v>17.312000000000001</v>
      </c>
      <c r="DK26" s="25">
        <v>15.645</v>
      </c>
      <c r="DL26" s="25">
        <v>17.312000000000001</v>
      </c>
      <c r="DM26" s="25">
        <v>30.041</v>
      </c>
      <c r="DN26" s="25">
        <v>17.312000000000001</v>
      </c>
      <c r="DO26" s="25">
        <v>17.312000000000001</v>
      </c>
      <c r="DP26" s="25">
        <v>17.312000000000001</v>
      </c>
      <c r="DQ26" s="25">
        <v>17.312000000000001</v>
      </c>
      <c r="DR26" s="25">
        <v>17.312000000000001</v>
      </c>
      <c r="DS26" s="25">
        <v>17.312000000000001</v>
      </c>
      <c r="DT26" s="25">
        <v>17.312000000000001</v>
      </c>
      <c r="DU26" s="25">
        <v>8.5909999999999993</v>
      </c>
      <c r="DV26" s="25">
        <v>17.312000000000001</v>
      </c>
      <c r="DW26" s="25">
        <v>21.911000000000001</v>
      </c>
      <c r="DX26" s="25">
        <v>24.474</v>
      </c>
      <c r="DY26" s="25">
        <v>17.312000000000001</v>
      </c>
      <c r="DZ26" s="25">
        <v>24.739000000000001</v>
      </c>
      <c r="EA26" s="25">
        <v>17.312000000000001</v>
      </c>
      <c r="EB26" s="25">
        <v>8.6590000000000007</v>
      </c>
      <c r="EC26" s="25">
        <v>17.312000000000001</v>
      </c>
      <c r="ED26" s="25">
        <v>17.312000000000001</v>
      </c>
      <c r="EE26" s="25">
        <v>17.312000000000001</v>
      </c>
      <c r="EF26" s="25">
        <v>17.312000000000001</v>
      </c>
      <c r="EG26" s="25">
        <v>7.1470000000000002</v>
      </c>
      <c r="EH26" s="25">
        <v>24.879000000000001</v>
      </c>
      <c r="EI26" s="25">
        <v>17.312000000000001</v>
      </c>
      <c r="EJ26" s="25">
        <v>15.491</v>
      </c>
      <c r="EK26" s="25">
        <v>17.312000000000001</v>
      </c>
      <c r="EL26" s="25">
        <v>17.312000000000001</v>
      </c>
      <c r="EM26" s="25">
        <v>14.912000000000001</v>
      </c>
      <c r="EN26" s="25">
        <v>17.312000000000001</v>
      </c>
      <c r="EO26" s="25">
        <v>14.225</v>
      </c>
      <c r="EP26" s="25">
        <v>17.312000000000001</v>
      </c>
      <c r="EQ26" s="25">
        <v>17.312000000000001</v>
      </c>
      <c r="ER26" s="25">
        <v>32.225000000000001</v>
      </c>
      <c r="ES26" s="25">
        <v>23.93</v>
      </c>
      <c r="ET26" s="25">
        <v>17.312000000000001</v>
      </c>
      <c r="EU26" s="25">
        <v>17.312000000000001</v>
      </c>
      <c r="EV26" s="25">
        <v>17.312000000000001</v>
      </c>
      <c r="EW26" s="25"/>
    </row>
    <row r="27" spans="1:153" ht="17.25" customHeight="1" x14ac:dyDescent="0.25">
      <c r="A27" s="25" t="s">
        <v>146</v>
      </c>
      <c r="B27" s="25">
        <v>7.4370000000000003</v>
      </c>
      <c r="C27" s="25">
        <v>9.3480000000000008</v>
      </c>
      <c r="D27" s="25">
        <v>10.166</v>
      </c>
      <c r="E27" s="25">
        <v>11.535</v>
      </c>
      <c r="F27" s="25">
        <v>11.811999999999999</v>
      </c>
      <c r="G27" s="25">
        <v>17.846</v>
      </c>
      <c r="H27" s="25">
        <v>18.338000000000001</v>
      </c>
      <c r="I27" s="25">
        <v>18.103000000000002</v>
      </c>
      <c r="J27" s="25">
        <v>23.709</v>
      </c>
      <c r="K27" s="25">
        <v>22.91</v>
      </c>
      <c r="L27" s="25">
        <v>22.145</v>
      </c>
      <c r="M27" s="25">
        <v>15.195</v>
      </c>
      <c r="N27" s="25">
        <v>19.968</v>
      </c>
      <c r="O27" s="25">
        <v>18.042999999999999</v>
      </c>
      <c r="P27" s="25">
        <v>17.004000000000001</v>
      </c>
      <c r="Q27" s="25">
        <v>16.222000000000001</v>
      </c>
      <c r="R27" s="25">
        <v>15.185</v>
      </c>
      <c r="S27" s="25">
        <v>14.432</v>
      </c>
      <c r="T27" s="25">
        <v>14.938000000000001</v>
      </c>
      <c r="U27" s="25">
        <v>16.843</v>
      </c>
      <c r="V27" s="25">
        <v>16.425999999999998</v>
      </c>
      <c r="W27" s="25">
        <v>15.699</v>
      </c>
      <c r="X27" s="25">
        <v>24.117999999999999</v>
      </c>
      <c r="Y27" s="25">
        <v>4.7009999999999996</v>
      </c>
      <c r="Z27" s="25">
        <v>3.5539999999999998</v>
      </c>
      <c r="AA27" s="25">
        <v>0</v>
      </c>
      <c r="AB27" s="25">
        <v>1.7350000000000001</v>
      </c>
      <c r="AC27" s="25">
        <v>7.0039999999999996</v>
      </c>
      <c r="AD27" s="25">
        <v>23.872</v>
      </c>
      <c r="AE27" s="25">
        <v>6.1580000000000004</v>
      </c>
      <c r="AF27" s="25">
        <v>20.452000000000002</v>
      </c>
      <c r="AG27" s="25">
        <v>20.741</v>
      </c>
      <c r="AH27" s="25">
        <v>9.3480000000000008</v>
      </c>
      <c r="AI27" s="25">
        <v>18.042999999999999</v>
      </c>
      <c r="AJ27" s="25">
        <v>18.338000000000001</v>
      </c>
      <c r="AK27" s="25">
        <v>18.103000000000002</v>
      </c>
      <c r="AL27" s="25">
        <v>16.222000000000001</v>
      </c>
      <c r="AM27" s="25">
        <v>20.544</v>
      </c>
      <c r="AN27" s="25">
        <v>20.420000000000002</v>
      </c>
      <c r="AO27" s="25">
        <v>18.042999999999999</v>
      </c>
      <c r="AP27" s="25">
        <v>7.21</v>
      </c>
      <c r="AQ27" s="25">
        <v>8.6059999999999999</v>
      </c>
      <c r="AR27" s="25">
        <v>18.042999999999999</v>
      </c>
      <c r="AS27" s="25">
        <v>18.042999999999999</v>
      </c>
      <c r="AT27" s="25">
        <v>18.042999999999999</v>
      </c>
      <c r="AU27" s="25">
        <v>11.241</v>
      </c>
      <c r="AV27" s="25">
        <v>18.042999999999999</v>
      </c>
      <c r="AW27" s="25">
        <v>14.64</v>
      </c>
      <c r="AX27" s="25">
        <v>17.975000000000001</v>
      </c>
      <c r="AY27" s="25">
        <v>18.042999999999999</v>
      </c>
      <c r="AZ27" s="25">
        <v>19.516999999999999</v>
      </c>
      <c r="BA27" s="25">
        <v>18.042999999999999</v>
      </c>
      <c r="BB27" s="25">
        <v>12.113</v>
      </c>
      <c r="BC27" s="25">
        <v>18.042999999999999</v>
      </c>
      <c r="BD27" s="25">
        <v>18.940999999999999</v>
      </c>
      <c r="BE27" s="25">
        <v>18.042999999999999</v>
      </c>
      <c r="BF27" s="25">
        <v>24.033999999999999</v>
      </c>
      <c r="BG27" s="25">
        <v>18.042999999999999</v>
      </c>
      <c r="BH27" s="25">
        <v>18.042999999999999</v>
      </c>
      <c r="BI27" s="25">
        <v>11.996</v>
      </c>
      <c r="BJ27" s="25">
        <v>18.042999999999999</v>
      </c>
      <c r="BK27" s="25">
        <v>18.042999999999999</v>
      </c>
      <c r="BL27" s="25">
        <v>18.042999999999999</v>
      </c>
      <c r="BM27" s="25">
        <v>18.042999999999999</v>
      </c>
      <c r="BN27" s="25">
        <v>18.042999999999999</v>
      </c>
      <c r="BO27" s="25">
        <v>18.042999999999999</v>
      </c>
      <c r="BP27" s="25">
        <v>16.414000000000001</v>
      </c>
      <c r="BQ27" s="25">
        <v>10.743</v>
      </c>
      <c r="BR27" s="25">
        <v>18.042999999999999</v>
      </c>
      <c r="BS27" s="25">
        <v>18.042999999999999</v>
      </c>
      <c r="BT27" s="25">
        <v>18.042999999999999</v>
      </c>
      <c r="BU27" s="25">
        <v>12.051</v>
      </c>
      <c r="BV27" s="25">
        <v>18.042999999999999</v>
      </c>
      <c r="BW27" s="25">
        <v>18.042999999999999</v>
      </c>
      <c r="BX27" s="25">
        <v>18.763999999999999</v>
      </c>
      <c r="BY27" s="25">
        <v>12.555999999999999</v>
      </c>
      <c r="BZ27" s="25">
        <v>10.781000000000001</v>
      </c>
      <c r="CA27" s="25">
        <v>18.042999999999999</v>
      </c>
      <c r="CB27" s="25">
        <v>18.042999999999999</v>
      </c>
      <c r="CC27" s="25">
        <v>6.5410000000000004</v>
      </c>
      <c r="CD27" s="25">
        <v>4.7009999999999996</v>
      </c>
      <c r="CE27" s="25">
        <v>18.042999999999999</v>
      </c>
      <c r="CF27" s="25">
        <v>3.3530000000000002</v>
      </c>
      <c r="CG27" s="25">
        <v>8.7260000000000009</v>
      </c>
      <c r="CH27" s="25">
        <v>18.042999999999999</v>
      </c>
      <c r="CI27" s="25">
        <v>18.042999999999999</v>
      </c>
      <c r="CJ27" s="25">
        <v>18.042999999999999</v>
      </c>
      <c r="CK27" s="25">
        <v>18.042999999999999</v>
      </c>
      <c r="CL27" s="25">
        <v>18.042999999999999</v>
      </c>
      <c r="CM27" s="25">
        <v>18.042999999999999</v>
      </c>
      <c r="CN27" s="25">
        <v>18.042999999999999</v>
      </c>
      <c r="CO27" s="25">
        <v>18.042999999999999</v>
      </c>
      <c r="CP27" s="25">
        <v>18.042999999999999</v>
      </c>
      <c r="CQ27" s="25">
        <v>18.042999999999999</v>
      </c>
      <c r="CR27" s="25">
        <v>18.042999999999999</v>
      </c>
      <c r="CS27" s="25">
        <v>31.94</v>
      </c>
      <c r="CT27" s="25">
        <v>18.042999999999999</v>
      </c>
      <c r="CU27" s="25">
        <v>18.042999999999999</v>
      </c>
      <c r="CV27" s="25">
        <v>17.343</v>
      </c>
      <c r="CW27" s="25">
        <v>18.042999999999999</v>
      </c>
      <c r="CX27" s="25">
        <v>18.042999999999999</v>
      </c>
      <c r="CY27" s="25">
        <v>18.042999999999999</v>
      </c>
      <c r="CZ27" s="25">
        <v>11.332000000000001</v>
      </c>
      <c r="DA27" s="25">
        <v>11.180999999999999</v>
      </c>
      <c r="DB27" s="25">
        <v>4.7450000000000001</v>
      </c>
      <c r="DC27" s="25">
        <v>4.0780000000000003</v>
      </c>
      <c r="DD27" s="25">
        <v>10.638</v>
      </c>
      <c r="DE27" s="25">
        <v>30.771999999999998</v>
      </c>
      <c r="DF27" s="25">
        <v>18.042999999999999</v>
      </c>
      <c r="DG27" s="25">
        <v>9.4190000000000005</v>
      </c>
      <c r="DH27" s="25">
        <v>21.954999999999998</v>
      </c>
      <c r="DI27" s="25">
        <v>18.042999999999999</v>
      </c>
      <c r="DJ27" s="25">
        <v>18.042999999999999</v>
      </c>
      <c r="DK27" s="25">
        <v>16.376000000000001</v>
      </c>
      <c r="DL27" s="25">
        <v>18.042999999999999</v>
      </c>
      <c r="DM27" s="25">
        <v>30.771999999999998</v>
      </c>
      <c r="DN27" s="25">
        <v>18.042999999999999</v>
      </c>
      <c r="DO27" s="25">
        <v>18.042999999999999</v>
      </c>
      <c r="DP27" s="25">
        <v>18.042999999999999</v>
      </c>
      <c r="DQ27" s="25">
        <v>18.042999999999999</v>
      </c>
      <c r="DR27" s="25">
        <v>18.042999999999999</v>
      </c>
      <c r="DS27" s="25">
        <v>18.042999999999999</v>
      </c>
      <c r="DT27" s="25">
        <v>18.042999999999999</v>
      </c>
      <c r="DU27" s="25">
        <v>8.0960000000000001</v>
      </c>
      <c r="DV27" s="25">
        <v>18.042999999999999</v>
      </c>
      <c r="DW27" s="25">
        <v>22.641999999999999</v>
      </c>
      <c r="DX27" s="25">
        <v>25.204999999999998</v>
      </c>
      <c r="DY27" s="25">
        <v>18.042999999999999</v>
      </c>
      <c r="DZ27" s="25">
        <v>25.47</v>
      </c>
      <c r="EA27" s="25">
        <v>18.042999999999999</v>
      </c>
      <c r="EB27" s="25">
        <v>9.39</v>
      </c>
      <c r="EC27" s="25">
        <v>18.042999999999999</v>
      </c>
      <c r="ED27" s="25">
        <v>18.042999999999999</v>
      </c>
      <c r="EE27" s="25">
        <v>18.042999999999999</v>
      </c>
      <c r="EF27" s="25">
        <v>18.042999999999999</v>
      </c>
      <c r="EG27" s="25">
        <v>6.6520000000000001</v>
      </c>
      <c r="EH27" s="25">
        <v>25.61</v>
      </c>
      <c r="EI27" s="25">
        <v>18.042999999999999</v>
      </c>
      <c r="EJ27" s="25">
        <v>16.222000000000001</v>
      </c>
      <c r="EK27" s="25">
        <v>18.042999999999999</v>
      </c>
      <c r="EL27" s="25">
        <v>18.042999999999999</v>
      </c>
      <c r="EM27" s="25">
        <v>15.643000000000001</v>
      </c>
      <c r="EN27" s="25">
        <v>18.042999999999999</v>
      </c>
      <c r="EO27" s="25">
        <v>14.956</v>
      </c>
      <c r="EP27" s="25">
        <v>18.042999999999999</v>
      </c>
      <c r="EQ27" s="25">
        <v>18.042999999999999</v>
      </c>
      <c r="ER27" s="25">
        <v>30.068999999999999</v>
      </c>
      <c r="ES27" s="25">
        <v>24.661000000000001</v>
      </c>
      <c r="ET27" s="25">
        <v>18.042999999999999</v>
      </c>
      <c r="EU27" s="25">
        <v>18.042999999999999</v>
      </c>
      <c r="EV27" s="25">
        <v>18.042999999999999</v>
      </c>
      <c r="EW27" s="25"/>
    </row>
    <row r="28" spans="1:153" ht="17.25" customHeight="1" x14ac:dyDescent="0.25">
      <c r="A28" s="25" t="s">
        <v>147</v>
      </c>
      <c r="B28" s="25">
        <v>9.0440000000000005</v>
      </c>
      <c r="C28" s="25">
        <v>10.955</v>
      </c>
      <c r="D28" s="25">
        <v>11.773</v>
      </c>
      <c r="E28" s="25">
        <v>13.141999999999999</v>
      </c>
      <c r="F28" s="25">
        <v>13.419</v>
      </c>
      <c r="G28" s="25">
        <v>18.526</v>
      </c>
      <c r="H28" s="25">
        <v>19.018000000000001</v>
      </c>
      <c r="I28" s="25">
        <v>18.783000000000001</v>
      </c>
      <c r="J28" s="25">
        <v>24.388999999999999</v>
      </c>
      <c r="K28" s="25">
        <v>23.59</v>
      </c>
      <c r="L28" s="25">
        <v>22.824999999999999</v>
      </c>
      <c r="M28" s="25">
        <v>16.802</v>
      </c>
      <c r="N28" s="25">
        <v>20.648</v>
      </c>
      <c r="O28" s="25">
        <v>18.722999999999999</v>
      </c>
      <c r="P28" s="25">
        <v>17.684000000000001</v>
      </c>
      <c r="Q28" s="25">
        <v>16.902000000000001</v>
      </c>
      <c r="R28" s="25">
        <v>15.865</v>
      </c>
      <c r="S28" s="25">
        <v>15.112</v>
      </c>
      <c r="T28" s="25">
        <v>15.618</v>
      </c>
      <c r="U28" s="25">
        <v>17.523</v>
      </c>
      <c r="V28" s="25">
        <v>17.106000000000002</v>
      </c>
      <c r="W28" s="25">
        <v>16.379000000000001</v>
      </c>
      <c r="X28" s="25">
        <v>24.797999999999998</v>
      </c>
      <c r="Y28" s="25">
        <v>6.3079999999999998</v>
      </c>
      <c r="Z28" s="25">
        <v>5.1319999999999997</v>
      </c>
      <c r="AA28" s="25">
        <v>2.2519999999999998</v>
      </c>
      <c r="AB28" s="25">
        <v>0</v>
      </c>
      <c r="AC28" s="25">
        <v>5.2690000000000001</v>
      </c>
      <c r="AD28" s="25">
        <v>24.552</v>
      </c>
      <c r="AE28" s="25">
        <v>7.7649999999999997</v>
      </c>
      <c r="AF28" s="25">
        <v>21.132000000000001</v>
      </c>
      <c r="AG28" s="25">
        <v>21.420999999999999</v>
      </c>
      <c r="AH28" s="25">
        <v>10.955</v>
      </c>
      <c r="AI28" s="25">
        <v>18.722999999999999</v>
      </c>
      <c r="AJ28" s="25">
        <v>19.018000000000001</v>
      </c>
      <c r="AK28" s="25">
        <v>18.783000000000001</v>
      </c>
      <c r="AL28" s="25">
        <v>16.902000000000001</v>
      </c>
      <c r="AM28" s="25">
        <v>21.224</v>
      </c>
      <c r="AN28" s="25">
        <v>21.1</v>
      </c>
      <c r="AO28" s="25">
        <v>18.722999999999999</v>
      </c>
      <c r="AP28" s="25">
        <v>8.8170000000000002</v>
      </c>
      <c r="AQ28" s="25">
        <v>10.212999999999999</v>
      </c>
      <c r="AR28" s="25">
        <v>18.722999999999999</v>
      </c>
      <c r="AS28" s="25">
        <v>18.722999999999999</v>
      </c>
      <c r="AT28" s="25">
        <v>18.722999999999999</v>
      </c>
      <c r="AU28" s="25">
        <v>12.848000000000001</v>
      </c>
      <c r="AV28" s="25">
        <v>18.722999999999999</v>
      </c>
      <c r="AW28" s="25">
        <v>15.32</v>
      </c>
      <c r="AX28" s="25">
        <v>19.582000000000001</v>
      </c>
      <c r="AY28" s="25">
        <v>18.722999999999999</v>
      </c>
      <c r="AZ28" s="25">
        <v>20.196999999999999</v>
      </c>
      <c r="BA28" s="25">
        <v>18.722999999999999</v>
      </c>
      <c r="BB28" s="25">
        <v>13.72</v>
      </c>
      <c r="BC28" s="25">
        <v>18.722999999999999</v>
      </c>
      <c r="BD28" s="25">
        <v>19.620999999999999</v>
      </c>
      <c r="BE28" s="25">
        <v>18.722999999999999</v>
      </c>
      <c r="BF28" s="25">
        <v>25.207999999999998</v>
      </c>
      <c r="BG28" s="25">
        <v>18.722999999999999</v>
      </c>
      <c r="BH28" s="25">
        <v>18.722999999999999</v>
      </c>
      <c r="BI28" s="25">
        <v>13.87</v>
      </c>
      <c r="BJ28" s="25">
        <v>18.722999999999999</v>
      </c>
      <c r="BK28" s="25">
        <v>18.722999999999999</v>
      </c>
      <c r="BL28" s="25">
        <v>18.722999999999999</v>
      </c>
      <c r="BM28" s="25">
        <v>18.722999999999999</v>
      </c>
      <c r="BN28" s="25">
        <v>18.722999999999999</v>
      </c>
      <c r="BO28" s="25">
        <v>18.722999999999999</v>
      </c>
      <c r="BP28" s="25">
        <v>17.094000000000001</v>
      </c>
      <c r="BQ28" s="25">
        <v>12.35</v>
      </c>
      <c r="BR28" s="25">
        <v>18.722999999999999</v>
      </c>
      <c r="BS28" s="25">
        <v>18.722999999999999</v>
      </c>
      <c r="BT28" s="25">
        <v>18.722999999999999</v>
      </c>
      <c r="BU28" s="25">
        <v>13.657999999999999</v>
      </c>
      <c r="BV28" s="25">
        <v>18.722999999999999</v>
      </c>
      <c r="BW28" s="25">
        <v>18.722999999999999</v>
      </c>
      <c r="BX28" s="25">
        <v>19.443999999999999</v>
      </c>
      <c r="BY28" s="25">
        <v>14.163</v>
      </c>
      <c r="BZ28" s="25">
        <v>12.388</v>
      </c>
      <c r="CA28" s="25">
        <v>18.722999999999999</v>
      </c>
      <c r="CB28" s="25">
        <v>18.722999999999999</v>
      </c>
      <c r="CC28" s="25">
        <v>8.1479999999999997</v>
      </c>
      <c r="CD28" s="25">
        <v>6.3079999999999998</v>
      </c>
      <c r="CE28" s="25">
        <v>18.722999999999999</v>
      </c>
      <c r="CF28" s="25">
        <v>3.0950000000000002</v>
      </c>
      <c r="CG28" s="25">
        <v>6.9909999999999997</v>
      </c>
      <c r="CH28" s="25">
        <v>18.722999999999999</v>
      </c>
      <c r="CI28" s="25">
        <v>18.722999999999999</v>
      </c>
      <c r="CJ28" s="25">
        <v>18.722999999999999</v>
      </c>
      <c r="CK28" s="25">
        <v>18.722999999999999</v>
      </c>
      <c r="CL28" s="25">
        <v>18.722999999999999</v>
      </c>
      <c r="CM28" s="25">
        <v>18.722999999999999</v>
      </c>
      <c r="CN28" s="25">
        <v>18.722999999999999</v>
      </c>
      <c r="CO28" s="25">
        <v>18.722999999999999</v>
      </c>
      <c r="CP28" s="25">
        <v>18.722999999999999</v>
      </c>
      <c r="CQ28" s="25">
        <v>18.722999999999999</v>
      </c>
      <c r="CR28" s="25">
        <v>18.722999999999999</v>
      </c>
      <c r="CS28" s="25">
        <v>33.814</v>
      </c>
      <c r="CT28" s="25">
        <v>18.722999999999999</v>
      </c>
      <c r="CU28" s="25">
        <v>18.722999999999999</v>
      </c>
      <c r="CV28" s="25">
        <v>18.023</v>
      </c>
      <c r="CW28" s="25">
        <v>18.722999999999999</v>
      </c>
      <c r="CX28" s="25">
        <v>18.722999999999999</v>
      </c>
      <c r="CY28" s="25">
        <v>18.722999999999999</v>
      </c>
      <c r="CZ28" s="25">
        <v>12.939</v>
      </c>
      <c r="DA28" s="25">
        <v>12.788</v>
      </c>
      <c r="DB28" s="25">
        <v>4.3639999999999999</v>
      </c>
      <c r="DC28" s="25">
        <v>4.5949999999999998</v>
      </c>
      <c r="DD28" s="25">
        <v>12.244999999999999</v>
      </c>
      <c r="DE28" s="25">
        <v>31.452000000000002</v>
      </c>
      <c r="DF28" s="25">
        <v>18.722999999999999</v>
      </c>
      <c r="DG28" s="25">
        <v>10.099</v>
      </c>
      <c r="DH28" s="25">
        <v>23.129000000000001</v>
      </c>
      <c r="DI28" s="25">
        <v>18.722999999999999</v>
      </c>
      <c r="DJ28" s="25">
        <v>18.722999999999999</v>
      </c>
      <c r="DK28" s="25">
        <v>17.056000000000001</v>
      </c>
      <c r="DL28" s="25">
        <v>18.722999999999999</v>
      </c>
      <c r="DM28" s="25">
        <v>31.452000000000002</v>
      </c>
      <c r="DN28" s="25">
        <v>18.722999999999999</v>
      </c>
      <c r="DO28" s="25">
        <v>18.722999999999999</v>
      </c>
      <c r="DP28" s="25">
        <v>18.722999999999999</v>
      </c>
      <c r="DQ28" s="25">
        <v>18.722999999999999</v>
      </c>
      <c r="DR28" s="25">
        <v>18.722999999999999</v>
      </c>
      <c r="DS28" s="25">
        <v>18.722999999999999</v>
      </c>
      <c r="DT28" s="25">
        <v>18.722999999999999</v>
      </c>
      <c r="DU28" s="25">
        <v>9.7029999999999994</v>
      </c>
      <c r="DV28" s="25">
        <v>18.722999999999999</v>
      </c>
      <c r="DW28" s="25">
        <v>23.321999999999999</v>
      </c>
      <c r="DX28" s="25">
        <v>25.885000000000002</v>
      </c>
      <c r="DY28" s="25">
        <v>18.722999999999999</v>
      </c>
      <c r="DZ28" s="25">
        <v>26.15</v>
      </c>
      <c r="EA28" s="25">
        <v>18.722999999999999</v>
      </c>
      <c r="EB28" s="25">
        <v>10.07</v>
      </c>
      <c r="EC28" s="25">
        <v>18.722999999999999</v>
      </c>
      <c r="ED28" s="25">
        <v>18.722999999999999</v>
      </c>
      <c r="EE28" s="25">
        <v>18.722999999999999</v>
      </c>
      <c r="EF28" s="25">
        <v>18.722999999999999</v>
      </c>
      <c r="EG28" s="25">
        <v>8.2590000000000003</v>
      </c>
      <c r="EH28" s="25">
        <v>26.29</v>
      </c>
      <c r="EI28" s="25">
        <v>18.722999999999999</v>
      </c>
      <c r="EJ28" s="25">
        <v>16.902000000000001</v>
      </c>
      <c r="EK28" s="25">
        <v>18.722999999999999</v>
      </c>
      <c r="EL28" s="25">
        <v>18.722999999999999</v>
      </c>
      <c r="EM28" s="25">
        <v>16.323</v>
      </c>
      <c r="EN28" s="25">
        <v>18.722999999999999</v>
      </c>
      <c r="EO28" s="25">
        <v>15.635999999999999</v>
      </c>
      <c r="EP28" s="25">
        <v>18.722999999999999</v>
      </c>
      <c r="EQ28" s="25">
        <v>18.722999999999999</v>
      </c>
      <c r="ER28" s="25">
        <v>31.242999999999999</v>
      </c>
      <c r="ES28" s="25">
        <v>25.341000000000001</v>
      </c>
      <c r="ET28" s="25">
        <v>18.722999999999999</v>
      </c>
      <c r="EU28" s="25">
        <v>18.722999999999999</v>
      </c>
      <c r="EV28" s="25">
        <v>18.722999999999999</v>
      </c>
      <c r="EW28" s="25"/>
    </row>
    <row r="29" spans="1:153" ht="17.25" customHeight="1" x14ac:dyDescent="0.25">
      <c r="A29" s="25" t="s">
        <v>148</v>
      </c>
      <c r="B29" s="25">
        <v>17.986999999999998</v>
      </c>
      <c r="C29" s="25">
        <v>18.934000000000001</v>
      </c>
      <c r="D29" s="25">
        <v>19.79</v>
      </c>
      <c r="E29" s="25">
        <v>23.78</v>
      </c>
      <c r="F29" s="25">
        <v>23.094999999999999</v>
      </c>
      <c r="G29" s="25">
        <v>24.193999999999999</v>
      </c>
      <c r="H29" s="25">
        <v>24.686</v>
      </c>
      <c r="I29" s="25">
        <v>24.451000000000001</v>
      </c>
      <c r="J29" s="25">
        <v>30.056000000000001</v>
      </c>
      <c r="K29" s="25">
        <v>29.257000000000001</v>
      </c>
      <c r="L29" s="25">
        <v>28.492000000000001</v>
      </c>
      <c r="M29" s="25">
        <v>26.771999999999998</v>
      </c>
      <c r="N29" s="25">
        <v>26.315999999999999</v>
      </c>
      <c r="O29" s="25">
        <v>24.390999999999998</v>
      </c>
      <c r="P29" s="25">
        <v>23.352</v>
      </c>
      <c r="Q29" s="25">
        <v>22.57</v>
      </c>
      <c r="R29" s="25">
        <v>21.533000000000001</v>
      </c>
      <c r="S29" s="25">
        <v>20.78</v>
      </c>
      <c r="T29" s="25">
        <v>21.286000000000001</v>
      </c>
      <c r="U29" s="25">
        <v>23.19</v>
      </c>
      <c r="V29" s="25">
        <v>22.774000000000001</v>
      </c>
      <c r="W29" s="25">
        <v>22.047000000000001</v>
      </c>
      <c r="X29" s="25">
        <v>30.465</v>
      </c>
      <c r="Y29" s="25">
        <v>11.015000000000001</v>
      </c>
      <c r="Z29" s="25">
        <v>9.0190000000000001</v>
      </c>
      <c r="AA29" s="25">
        <v>7.2430000000000003</v>
      </c>
      <c r="AB29" s="25">
        <v>5.6230000000000002</v>
      </c>
      <c r="AC29" s="25">
        <v>0</v>
      </c>
      <c r="AD29" s="25">
        <v>30.219000000000001</v>
      </c>
      <c r="AE29" s="25">
        <v>12.756</v>
      </c>
      <c r="AF29" s="25">
        <v>26.798999999999999</v>
      </c>
      <c r="AG29" s="25">
        <v>27.088000000000001</v>
      </c>
      <c r="AH29" s="25">
        <v>18.934000000000001</v>
      </c>
      <c r="AI29" s="25">
        <v>24.390999999999998</v>
      </c>
      <c r="AJ29" s="25">
        <v>24.686</v>
      </c>
      <c r="AK29" s="25">
        <v>24.451000000000001</v>
      </c>
      <c r="AL29" s="25">
        <v>22.57</v>
      </c>
      <c r="AM29" s="25">
        <v>26.890999999999998</v>
      </c>
      <c r="AN29" s="25">
        <v>26.766999999999999</v>
      </c>
      <c r="AO29" s="25">
        <v>24.390999999999998</v>
      </c>
      <c r="AP29" s="25">
        <v>18.815999999999999</v>
      </c>
      <c r="AQ29" s="25">
        <v>18.506</v>
      </c>
      <c r="AR29" s="25">
        <v>24.390999999999998</v>
      </c>
      <c r="AS29" s="25">
        <v>24.390999999999998</v>
      </c>
      <c r="AT29" s="25">
        <v>24.390999999999998</v>
      </c>
      <c r="AU29" s="25">
        <v>22.818000000000001</v>
      </c>
      <c r="AV29" s="25">
        <v>24.390999999999998</v>
      </c>
      <c r="AW29" s="25">
        <v>20.986999999999998</v>
      </c>
      <c r="AX29" s="25">
        <v>29.552</v>
      </c>
      <c r="AY29" s="25">
        <v>24.390999999999998</v>
      </c>
      <c r="AZ29" s="25">
        <v>25.864999999999998</v>
      </c>
      <c r="BA29" s="25">
        <v>24.390999999999998</v>
      </c>
      <c r="BB29" s="25">
        <v>23.454999999999998</v>
      </c>
      <c r="BC29" s="25">
        <v>24.390999999999998</v>
      </c>
      <c r="BD29" s="25">
        <v>25.289000000000001</v>
      </c>
      <c r="BE29" s="25">
        <v>24.390999999999998</v>
      </c>
      <c r="BF29" s="25">
        <v>18.561</v>
      </c>
      <c r="BG29" s="25">
        <v>24.390999999999998</v>
      </c>
      <c r="BH29" s="25">
        <v>24.390999999999998</v>
      </c>
      <c r="BI29" s="25">
        <v>14.478999999999999</v>
      </c>
      <c r="BJ29" s="25">
        <v>24.390999999999998</v>
      </c>
      <c r="BK29" s="25">
        <v>24.390999999999998</v>
      </c>
      <c r="BL29" s="25">
        <v>24.390999999999998</v>
      </c>
      <c r="BM29" s="25">
        <v>24.390999999999998</v>
      </c>
      <c r="BN29" s="25">
        <v>24.390999999999998</v>
      </c>
      <c r="BO29" s="25">
        <v>24.390999999999998</v>
      </c>
      <c r="BP29" s="25">
        <v>22.760999999999999</v>
      </c>
      <c r="BQ29" s="25">
        <v>20.646999999999998</v>
      </c>
      <c r="BR29" s="25">
        <v>24.390999999999998</v>
      </c>
      <c r="BS29" s="25">
        <v>24.390999999999998</v>
      </c>
      <c r="BT29" s="25">
        <v>24.390999999999998</v>
      </c>
      <c r="BU29" s="25">
        <v>24.584</v>
      </c>
      <c r="BV29" s="25">
        <v>24.390999999999998</v>
      </c>
      <c r="BW29" s="25">
        <v>24.390999999999998</v>
      </c>
      <c r="BX29" s="25">
        <v>25.111999999999998</v>
      </c>
      <c r="BY29" s="25">
        <v>24.356000000000002</v>
      </c>
      <c r="BZ29" s="25">
        <v>20.684999999999999</v>
      </c>
      <c r="CA29" s="25">
        <v>24.390999999999998</v>
      </c>
      <c r="CB29" s="25">
        <v>24.390999999999998</v>
      </c>
      <c r="CC29" s="25">
        <v>12.855</v>
      </c>
      <c r="CD29" s="25">
        <v>11.015000000000001</v>
      </c>
      <c r="CE29" s="25">
        <v>24.390999999999998</v>
      </c>
      <c r="CF29" s="25">
        <v>5.6619999999999999</v>
      </c>
      <c r="CG29" s="25">
        <v>2.5299999999999998</v>
      </c>
      <c r="CH29" s="25">
        <v>24.390999999999998</v>
      </c>
      <c r="CI29" s="25">
        <v>24.390999999999998</v>
      </c>
      <c r="CJ29" s="25">
        <v>24.390999999999998</v>
      </c>
      <c r="CK29" s="25">
        <v>24.390999999999998</v>
      </c>
      <c r="CL29" s="25">
        <v>24.390999999999998</v>
      </c>
      <c r="CM29" s="25">
        <v>24.390999999999998</v>
      </c>
      <c r="CN29" s="25">
        <v>24.390999999999998</v>
      </c>
      <c r="CO29" s="25">
        <v>24.390999999999998</v>
      </c>
      <c r="CP29" s="25">
        <v>24.390999999999998</v>
      </c>
      <c r="CQ29" s="25">
        <v>24.390999999999998</v>
      </c>
      <c r="CR29" s="25">
        <v>24.390999999999998</v>
      </c>
      <c r="CS29" s="25">
        <v>34.423000000000002</v>
      </c>
      <c r="CT29" s="25">
        <v>24.390999999999998</v>
      </c>
      <c r="CU29" s="25">
        <v>24.390999999999998</v>
      </c>
      <c r="CV29" s="25">
        <v>23.690999999999999</v>
      </c>
      <c r="CW29" s="25">
        <v>24.390999999999998</v>
      </c>
      <c r="CX29" s="25">
        <v>24.390999999999998</v>
      </c>
      <c r="CY29" s="25">
        <v>24.390999999999998</v>
      </c>
      <c r="CZ29" s="25">
        <v>23.864999999999998</v>
      </c>
      <c r="DA29" s="25">
        <v>22.765000000000001</v>
      </c>
      <c r="DB29" s="25">
        <v>7.4020000000000001</v>
      </c>
      <c r="DC29" s="25">
        <v>7.6379999999999999</v>
      </c>
      <c r="DD29" s="25">
        <v>20.39</v>
      </c>
      <c r="DE29" s="25">
        <v>37.119</v>
      </c>
      <c r="DF29" s="25">
        <v>24.390999999999998</v>
      </c>
      <c r="DG29" s="25">
        <v>15.766</v>
      </c>
      <c r="DH29" s="25">
        <v>16.481999999999999</v>
      </c>
      <c r="DI29" s="25">
        <v>24.390999999999998</v>
      </c>
      <c r="DJ29" s="25">
        <v>24.390999999999998</v>
      </c>
      <c r="DK29" s="25">
        <v>22.724</v>
      </c>
      <c r="DL29" s="25">
        <v>24.390999999999998</v>
      </c>
      <c r="DM29" s="25">
        <v>37.119</v>
      </c>
      <c r="DN29" s="25">
        <v>24.390999999999998</v>
      </c>
      <c r="DO29" s="25">
        <v>24.390999999999998</v>
      </c>
      <c r="DP29" s="25">
        <v>24.390999999999998</v>
      </c>
      <c r="DQ29" s="25">
        <v>24.390999999999998</v>
      </c>
      <c r="DR29" s="25">
        <v>24.390999999999998</v>
      </c>
      <c r="DS29" s="25">
        <v>24.390999999999998</v>
      </c>
      <c r="DT29" s="25">
        <v>24.390999999999998</v>
      </c>
      <c r="DU29" s="25">
        <v>17.225000000000001</v>
      </c>
      <c r="DV29" s="25">
        <v>24.390999999999998</v>
      </c>
      <c r="DW29" s="25">
        <v>28.989000000000001</v>
      </c>
      <c r="DX29" s="25">
        <v>31.552</v>
      </c>
      <c r="DY29" s="25">
        <v>24.390999999999998</v>
      </c>
      <c r="DZ29" s="25">
        <v>31.817</v>
      </c>
      <c r="EA29" s="25">
        <v>24.390999999999998</v>
      </c>
      <c r="EB29" s="25">
        <v>15.737</v>
      </c>
      <c r="EC29" s="25">
        <v>24.390999999999998</v>
      </c>
      <c r="ED29" s="25">
        <v>24.390999999999998</v>
      </c>
      <c r="EE29" s="25">
        <v>24.390999999999998</v>
      </c>
      <c r="EF29" s="25">
        <v>24.390999999999998</v>
      </c>
      <c r="EG29" s="25">
        <v>16.555</v>
      </c>
      <c r="EH29" s="25">
        <v>31.957000000000001</v>
      </c>
      <c r="EI29" s="25">
        <v>24.390999999999998</v>
      </c>
      <c r="EJ29" s="25">
        <v>22.57</v>
      </c>
      <c r="EK29" s="25">
        <v>24.390999999999998</v>
      </c>
      <c r="EL29" s="25">
        <v>24.390999999999998</v>
      </c>
      <c r="EM29" s="25">
        <v>21.991</v>
      </c>
      <c r="EN29" s="25">
        <v>24.390999999999998</v>
      </c>
      <c r="EO29" s="25">
        <v>21.303000000000001</v>
      </c>
      <c r="EP29" s="25">
        <v>24.390999999999998</v>
      </c>
      <c r="EQ29" s="25">
        <v>24.390999999999998</v>
      </c>
      <c r="ER29" s="25">
        <v>24.596</v>
      </c>
      <c r="ES29" s="25">
        <v>31.007999999999999</v>
      </c>
      <c r="ET29" s="25">
        <v>24.390999999999998</v>
      </c>
      <c r="EU29" s="25">
        <v>24.390999999999998</v>
      </c>
      <c r="EV29" s="25">
        <v>24.390999999999998</v>
      </c>
      <c r="EW29" s="25"/>
    </row>
    <row r="30" spans="1:153" ht="17.25" customHeight="1" x14ac:dyDescent="0.25">
      <c r="A30" s="25" t="s">
        <v>101</v>
      </c>
      <c r="B30" s="25">
        <v>17.053000000000001</v>
      </c>
      <c r="C30" s="25">
        <v>18</v>
      </c>
      <c r="D30" s="25">
        <v>11.896000000000001</v>
      </c>
      <c r="E30" s="25">
        <v>10.509</v>
      </c>
      <c r="F30" s="25">
        <v>12.516</v>
      </c>
      <c r="G30" s="25">
        <v>8.6129999999999995</v>
      </c>
      <c r="H30" s="25">
        <v>7.86</v>
      </c>
      <c r="I30" s="25">
        <v>6.6269999999999998</v>
      </c>
      <c r="J30" s="25">
        <v>6.431</v>
      </c>
      <c r="K30" s="25">
        <v>5.6319999999999997</v>
      </c>
      <c r="L30" s="25">
        <v>4.8659999999999997</v>
      </c>
      <c r="M30" s="25">
        <v>10.967000000000001</v>
      </c>
      <c r="N30" s="25">
        <v>9.5990000000000002</v>
      </c>
      <c r="O30" s="25">
        <v>8.1539999999999999</v>
      </c>
      <c r="P30" s="25">
        <v>8.6929999999999996</v>
      </c>
      <c r="Q30" s="25">
        <v>10.079000000000001</v>
      </c>
      <c r="R30" s="25">
        <v>9.0429999999999993</v>
      </c>
      <c r="S30" s="25">
        <v>8.2899999999999991</v>
      </c>
      <c r="T30" s="25">
        <v>8.5530000000000008</v>
      </c>
      <c r="U30" s="25">
        <v>8.6419999999999995</v>
      </c>
      <c r="V30" s="25">
        <v>9.7100000000000009</v>
      </c>
      <c r="W30" s="25">
        <v>8.9830000000000005</v>
      </c>
      <c r="X30" s="25">
        <v>1.833</v>
      </c>
      <c r="Y30" s="25">
        <v>19.495999999999999</v>
      </c>
      <c r="Z30" s="25">
        <v>20.971</v>
      </c>
      <c r="AA30" s="25">
        <v>20.661999999999999</v>
      </c>
      <c r="AB30" s="25">
        <v>22.396999999999998</v>
      </c>
      <c r="AC30" s="25">
        <v>29.28</v>
      </c>
      <c r="AD30" s="25">
        <v>0</v>
      </c>
      <c r="AE30" s="25">
        <v>17.024999999999999</v>
      </c>
      <c r="AF30" s="25">
        <v>2.1709999999999998</v>
      </c>
      <c r="AG30" s="25">
        <v>3.4620000000000002</v>
      </c>
      <c r="AH30" s="25">
        <v>18</v>
      </c>
      <c r="AI30" s="25">
        <v>8.1539999999999999</v>
      </c>
      <c r="AJ30" s="25">
        <v>7.86</v>
      </c>
      <c r="AK30" s="25">
        <v>6.6269999999999998</v>
      </c>
      <c r="AL30" s="25">
        <v>10.079000000000001</v>
      </c>
      <c r="AM30" s="25">
        <v>3.286</v>
      </c>
      <c r="AN30" s="25">
        <v>12.645</v>
      </c>
      <c r="AO30" s="25">
        <v>8.1539999999999999</v>
      </c>
      <c r="AP30" s="25">
        <v>17.882000000000001</v>
      </c>
      <c r="AQ30" s="25">
        <v>17.571999999999999</v>
      </c>
      <c r="AR30" s="25">
        <v>8.1539999999999999</v>
      </c>
      <c r="AS30" s="25">
        <v>8.1539999999999999</v>
      </c>
      <c r="AT30" s="25">
        <v>8.1539999999999999</v>
      </c>
      <c r="AU30" s="25">
        <v>12.236000000000001</v>
      </c>
      <c r="AV30" s="25">
        <v>8.1539999999999999</v>
      </c>
      <c r="AW30" s="25">
        <v>10.869</v>
      </c>
      <c r="AX30" s="25">
        <v>13.781000000000001</v>
      </c>
      <c r="AY30" s="25">
        <v>8.1539999999999999</v>
      </c>
      <c r="AZ30" s="25">
        <v>9.1479999999999997</v>
      </c>
      <c r="BA30" s="25">
        <v>8.1539999999999999</v>
      </c>
      <c r="BB30" s="25">
        <v>8.7629999999999999</v>
      </c>
      <c r="BC30" s="25">
        <v>8.1539999999999999</v>
      </c>
      <c r="BD30" s="25">
        <v>8.5719999999999992</v>
      </c>
      <c r="BE30" s="25">
        <v>8.1539999999999999</v>
      </c>
      <c r="BF30" s="25">
        <v>42.411999999999999</v>
      </c>
      <c r="BG30" s="25">
        <v>8.1539999999999999</v>
      </c>
      <c r="BH30" s="25">
        <v>8.1539999999999999</v>
      </c>
      <c r="BI30" s="25">
        <v>30.591999999999999</v>
      </c>
      <c r="BJ30" s="25">
        <v>8.1539999999999999</v>
      </c>
      <c r="BK30" s="25">
        <v>8.1539999999999999</v>
      </c>
      <c r="BL30" s="25">
        <v>8.1539999999999999</v>
      </c>
      <c r="BM30" s="25">
        <v>8.1539999999999999</v>
      </c>
      <c r="BN30" s="25">
        <v>8.1539999999999999</v>
      </c>
      <c r="BO30" s="25">
        <v>8.1539999999999999</v>
      </c>
      <c r="BP30" s="25">
        <v>10.528</v>
      </c>
      <c r="BQ30" s="25">
        <v>12.409000000000001</v>
      </c>
      <c r="BR30" s="25">
        <v>8.1539999999999999</v>
      </c>
      <c r="BS30" s="25">
        <v>8.1539999999999999</v>
      </c>
      <c r="BT30" s="25">
        <v>8.1539999999999999</v>
      </c>
      <c r="BU30" s="25">
        <v>12.657</v>
      </c>
      <c r="BV30" s="25">
        <v>8.1539999999999999</v>
      </c>
      <c r="BW30" s="25">
        <v>8.1539999999999999</v>
      </c>
      <c r="BX30" s="25">
        <v>5.508</v>
      </c>
      <c r="BY30" s="25">
        <v>10.196</v>
      </c>
      <c r="BZ30" s="25">
        <v>10.634</v>
      </c>
      <c r="CA30" s="25">
        <v>8.1539999999999999</v>
      </c>
      <c r="CB30" s="25">
        <v>8.1539999999999999</v>
      </c>
      <c r="CC30" s="25">
        <v>18.591000000000001</v>
      </c>
      <c r="CD30" s="25">
        <v>19.495999999999999</v>
      </c>
      <c r="CE30" s="25">
        <v>8.1539999999999999</v>
      </c>
      <c r="CF30" s="25">
        <v>22.619</v>
      </c>
      <c r="CG30" s="25">
        <v>30.678999999999998</v>
      </c>
      <c r="CH30" s="25">
        <v>8.1539999999999999</v>
      </c>
      <c r="CI30" s="25">
        <v>8.1539999999999999</v>
      </c>
      <c r="CJ30" s="25">
        <v>8.1539999999999999</v>
      </c>
      <c r="CK30" s="25">
        <v>8.1539999999999999</v>
      </c>
      <c r="CL30" s="25">
        <v>8.1539999999999999</v>
      </c>
      <c r="CM30" s="25">
        <v>8.1539999999999999</v>
      </c>
      <c r="CN30" s="25">
        <v>8.1539999999999999</v>
      </c>
      <c r="CO30" s="25">
        <v>8.1539999999999999</v>
      </c>
      <c r="CP30" s="25">
        <v>8.1539999999999999</v>
      </c>
      <c r="CQ30" s="25">
        <v>8.1539999999999999</v>
      </c>
      <c r="CR30" s="25">
        <v>8.1539999999999999</v>
      </c>
      <c r="CS30" s="25">
        <v>49.292000000000002</v>
      </c>
      <c r="CT30" s="25">
        <v>8.1539999999999999</v>
      </c>
      <c r="CU30" s="25">
        <v>8.1539999999999999</v>
      </c>
      <c r="CV30" s="25">
        <v>6.577</v>
      </c>
      <c r="CW30" s="25">
        <v>8.1539999999999999</v>
      </c>
      <c r="CX30" s="25">
        <v>8.1539999999999999</v>
      </c>
      <c r="CY30" s="25">
        <v>8.1539999999999999</v>
      </c>
      <c r="CZ30" s="25">
        <v>11.938000000000001</v>
      </c>
      <c r="DA30" s="25">
        <v>11.061</v>
      </c>
      <c r="DB30" s="25">
        <v>23.099</v>
      </c>
      <c r="DC30" s="25">
        <v>22.431999999999999</v>
      </c>
      <c r="DD30" s="25">
        <v>11.916</v>
      </c>
      <c r="DE30" s="25">
        <v>11.643000000000001</v>
      </c>
      <c r="DF30" s="25">
        <v>8.1539999999999999</v>
      </c>
      <c r="DG30" s="25">
        <v>14.797000000000001</v>
      </c>
      <c r="DH30" s="25">
        <v>40.332999999999998</v>
      </c>
      <c r="DI30" s="25">
        <v>8.1539999999999999</v>
      </c>
      <c r="DJ30" s="25">
        <v>8.1539999999999999</v>
      </c>
      <c r="DK30" s="25">
        <v>8.5429999999999993</v>
      </c>
      <c r="DL30" s="25">
        <v>8.1539999999999999</v>
      </c>
      <c r="DM30" s="25">
        <v>11.643000000000001</v>
      </c>
      <c r="DN30" s="25">
        <v>8.1539999999999999</v>
      </c>
      <c r="DO30" s="25">
        <v>8.1539999999999999</v>
      </c>
      <c r="DP30" s="25">
        <v>8.1539999999999999</v>
      </c>
      <c r="DQ30" s="25">
        <v>8.1539999999999999</v>
      </c>
      <c r="DR30" s="25">
        <v>8.1539999999999999</v>
      </c>
      <c r="DS30" s="25">
        <v>8.1539999999999999</v>
      </c>
      <c r="DT30" s="25">
        <v>8.1539999999999999</v>
      </c>
      <c r="DU30" s="25">
        <v>17.055</v>
      </c>
      <c r="DV30" s="25">
        <v>8.1539999999999999</v>
      </c>
      <c r="DW30" s="25">
        <v>1.482</v>
      </c>
      <c r="DX30" s="25">
        <v>8.7810000000000006</v>
      </c>
      <c r="DY30" s="25">
        <v>8.1539999999999999</v>
      </c>
      <c r="DZ30" s="25">
        <v>9.0459999999999994</v>
      </c>
      <c r="EA30" s="25">
        <v>8.1539999999999999</v>
      </c>
      <c r="EB30" s="25">
        <v>14.768000000000001</v>
      </c>
      <c r="EC30" s="25">
        <v>8.1539999999999999</v>
      </c>
      <c r="ED30" s="25">
        <v>8.1539999999999999</v>
      </c>
      <c r="EE30" s="25">
        <v>8.1539999999999999</v>
      </c>
      <c r="EF30" s="25">
        <v>8.1539999999999999</v>
      </c>
      <c r="EG30" s="25">
        <v>15.61</v>
      </c>
      <c r="EH30" s="25">
        <v>8.0259999999999998</v>
      </c>
      <c r="EI30" s="25">
        <v>8.1539999999999999</v>
      </c>
      <c r="EJ30" s="25">
        <v>10.079000000000001</v>
      </c>
      <c r="EK30" s="25">
        <v>8.1539999999999999</v>
      </c>
      <c r="EL30" s="25">
        <v>8.1539999999999999</v>
      </c>
      <c r="EM30" s="25">
        <v>8.7899999999999991</v>
      </c>
      <c r="EN30" s="25">
        <v>8.1539999999999999</v>
      </c>
      <c r="EO30" s="25">
        <v>9.3770000000000007</v>
      </c>
      <c r="EP30" s="25">
        <v>8.1539999999999999</v>
      </c>
      <c r="EQ30" s="25">
        <v>8.1539999999999999</v>
      </c>
      <c r="ER30" s="25">
        <v>48.447000000000003</v>
      </c>
      <c r="ES30" s="25">
        <v>2.3759999999999999</v>
      </c>
      <c r="ET30" s="25">
        <v>8.1539999999999999</v>
      </c>
      <c r="EU30" s="25">
        <v>8.1539999999999999</v>
      </c>
      <c r="EV30" s="25">
        <v>8.1539999999999999</v>
      </c>
      <c r="EW30" s="25"/>
    </row>
    <row r="31" spans="1:153" ht="17.25" customHeight="1" x14ac:dyDescent="0.25">
      <c r="A31" s="25" t="s">
        <v>149</v>
      </c>
      <c r="B31" s="25">
        <v>1.835</v>
      </c>
      <c r="C31" s="25">
        <v>2.9359999999999999</v>
      </c>
      <c r="D31" s="25">
        <v>3.839</v>
      </c>
      <c r="E31" s="25">
        <v>5.0209999999999999</v>
      </c>
      <c r="F31" s="25">
        <v>5.7149999999999999</v>
      </c>
      <c r="G31" s="25">
        <v>6.7469999999999999</v>
      </c>
      <c r="H31" s="25">
        <v>7.5010000000000003</v>
      </c>
      <c r="I31" s="25">
        <v>12.079000000000001</v>
      </c>
      <c r="J31" s="25">
        <v>17.684000000000001</v>
      </c>
      <c r="K31" s="25">
        <v>16.885000000000002</v>
      </c>
      <c r="L31" s="25">
        <v>16.12</v>
      </c>
      <c r="M31" s="25">
        <v>9.3079999999999998</v>
      </c>
      <c r="N31" s="25">
        <v>9.2460000000000004</v>
      </c>
      <c r="O31" s="25">
        <v>7.2069999999999999</v>
      </c>
      <c r="P31" s="25">
        <v>7.6340000000000003</v>
      </c>
      <c r="Q31" s="25">
        <v>10.198</v>
      </c>
      <c r="R31" s="25">
        <v>9.1609999999999996</v>
      </c>
      <c r="S31" s="25">
        <v>8.4079999999999995</v>
      </c>
      <c r="T31" s="25">
        <v>8.9139999999999997</v>
      </c>
      <c r="U31" s="25">
        <v>10.819000000000001</v>
      </c>
      <c r="V31" s="25">
        <v>10.401999999999999</v>
      </c>
      <c r="W31" s="25">
        <v>9.6750000000000007</v>
      </c>
      <c r="X31" s="25">
        <v>18.093</v>
      </c>
      <c r="Y31" s="25">
        <v>4.2830000000000004</v>
      </c>
      <c r="Z31" s="25">
        <v>5.758</v>
      </c>
      <c r="AA31" s="25">
        <v>6.3550000000000004</v>
      </c>
      <c r="AB31" s="25">
        <v>8.09</v>
      </c>
      <c r="AC31" s="25">
        <v>13.359</v>
      </c>
      <c r="AD31" s="25">
        <v>17.847000000000001</v>
      </c>
      <c r="AE31" s="25">
        <v>0</v>
      </c>
      <c r="AF31" s="25">
        <v>14.427</v>
      </c>
      <c r="AG31" s="25">
        <v>14.715999999999999</v>
      </c>
      <c r="AH31" s="25">
        <v>2.9359999999999999</v>
      </c>
      <c r="AI31" s="25">
        <v>7.2069999999999999</v>
      </c>
      <c r="AJ31" s="25">
        <v>7.5010000000000003</v>
      </c>
      <c r="AK31" s="25">
        <v>12.079000000000001</v>
      </c>
      <c r="AL31" s="25">
        <v>10.198</v>
      </c>
      <c r="AM31" s="25">
        <v>14.519</v>
      </c>
      <c r="AN31" s="25">
        <v>14.396000000000001</v>
      </c>
      <c r="AO31" s="25">
        <v>7.2069999999999999</v>
      </c>
      <c r="AP31" s="25">
        <v>2.1019999999999999</v>
      </c>
      <c r="AQ31" s="25">
        <v>3.137</v>
      </c>
      <c r="AR31" s="25">
        <v>7.2069999999999999</v>
      </c>
      <c r="AS31" s="25">
        <v>7.2069999999999999</v>
      </c>
      <c r="AT31" s="25">
        <v>7.2069999999999999</v>
      </c>
      <c r="AU31" s="25">
        <v>5.3540000000000001</v>
      </c>
      <c r="AV31" s="25">
        <v>7.2069999999999999</v>
      </c>
      <c r="AW31" s="25">
        <v>8.6159999999999997</v>
      </c>
      <c r="AX31" s="25">
        <v>12.087999999999999</v>
      </c>
      <c r="AY31" s="25">
        <v>7.2069999999999999</v>
      </c>
      <c r="AZ31" s="25">
        <v>9.69</v>
      </c>
      <c r="BA31" s="25">
        <v>7.2069999999999999</v>
      </c>
      <c r="BB31" s="25">
        <v>7.7359999999999998</v>
      </c>
      <c r="BC31" s="25">
        <v>7.2069999999999999</v>
      </c>
      <c r="BD31" s="25">
        <v>9.1140000000000008</v>
      </c>
      <c r="BE31" s="25">
        <v>7.2069999999999999</v>
      </c>
      <c r="BF31" s="25">
        <v>31.684999999999999</v>
      </c>
      <c r="BG31" s="25">
        <v>7.2069999999999999</v>
      </c>
      <c r="BH31" s="25">
        <v>7.2069999999999999</v>
      </c>
      <c r="BI31" s="25">
        <v>20.106999999999999</v>
      </c>
      <c r="BJ31" s="25">
        <v>7.2069999999999999</v>
      </c>
      <c r="BK31" s="25">
        <v>7.2069999999999999</v>
      </c>
      <c r="BL31" s="25">
        <v>7.2069999999999999</v>
      </c>
      <c r="BM31" s="25">
        <v>7.2069999999999999</v>
      </c>
      <c r="BN31" s="25">
        <v>7.2069999999999999</v>
      </c>
      <c r="BO31" s="25">
        <v>7.2069999999999999</v>
      </c>
      <c r="BP31" s="25">
        <v>10.39</v>
      </c>
      <c r="BQ31" s="25">
        <v>6.3659999999999997</v>
      </c>
      <c r="BR31" s="25">
        <v>7.2069999999999999</v>
      </c>
      <c r="BS31" s="25">
        <v>7.2069999999999999</v>
      </c>
      <c r="BT31" s="25">
        <v>7.2069999999999999</v>
      </c>
      <c r="BU31" s="25">
        <v>9.6370000000000005</v>
      </c>
      <c r="BV31" s="25">
        <v>7.2069999999999999</v>
      </c>
      <c r="BW31" s="25">
        <v>7.2069999999999999</v>
      </c>
      <c r="BX31" s="25">
        <v>12.74</v>
      </c>
      <c r="BY31" s="25">
        <v>7.2969999999999997</v>
      </c>
      <c r="BZ31" s="25">
        <v>5.6210000000000004</v>
      </c>
      <c r="CA31" s="25">
        <v>7.2069999999999999</v>
      </c>
      <c r="CB31" s="25">
        <v>7.2069999999999999</v>
      </c>
      <c r="CC31" s="25">
        <v>3.3780000000000001</v>
      </c>
      <c r="CD31" s="25">
        <v>4.2830000000000004</v>
      </c>
      <c r="CE31" s="25">
        <v>7.2069999999999999</v>
      </c>
      <c r="CF31" s="25">
        <v>9.7080000000000002</v>
      </c>
      <c r="CG31" s="25">
        <v>19.951000000000001</v>
      </c>
      <c r="CH31" s="25">
        <v>7.2069999999999999</v>
      </c>
      <c r="CI31" s="25">
        <v>7.2069999999999999</v>
      </c>
      <c r="CJ31" s="25">
        <v>7.2069999999999999</v>
      </c>
      <c r="CK31" s="25">
        <v>7.2069999999999999</v>
      </c>
      <c r="CL31" s="25">
        <v>7.2069999999999999</v>
      </c>
      <c r="CM31" s="25">
        <v>7.2069999999999999</v>
      </c>
      <c r="CN31" s="25">
        <v>7.2069999999999999</v>
      </c>
      <c r="CO31" s="25">
        <v>7.2069999999999999</v>
      </c>
      <c r="CP31" s="25">
        <v>7.2069999999999999</v>
      </c>
      <c r="CQ31" s="25">
        <v>7.2069999999999999</v>
      </c>
      <c r="CR31" s="25">
        <v>7.2069999999999999</v>
      </c>
      <c r="CS31" s="25">
        <v>38.807000000000002</v>
      </c>
      <c r="CT31" s="25">
        <v>7.2069999999999999</v>
      </c>
      <c r="CU31" s="25">
        <v>7.2069999999999999</v>
      </c>
      <c r="CV31" s="25">
        <v>11.319000000000001</v>
      </c>
      <c r="CW31" s="25">
        <v>7.2069999999999999</v>
      </c>
      <c r="CX31" s="25">
        <v>7.2069999999999999</v>
      </c>
      <c r="CY31" s="25">
        <v>7.2069999999999999</v>
      </c>
      <c r="CZ31" s="25">
        <v>8.9179999999999993</v>
      </c>
      <c r="DA31" s="25">
        <v>6.8040000000000003</v>
      </c>
      <c r="DB31" s="25">
        <v>7.8860000000000001</v>
      </c>
      <c r="DC31" s="25">
        <v>7.2190000000000003</v>
      </c>
      <c r="DD31" s="25">
        <v>4.3780000000000001</v>
      </c>
      <c r="DE31" s="25">
        <v>24.747</v>
      </c>
      <c r="DF31" s="25">
        <v>7.2069999999999999</v>
      </c>
      <c r="DG31" s="25">
        <v>2.3130000000000002</v>
      </c>
      <c r="DH31" s="25">
        <v>29.606000000000002</v>
      </c>
      <c r="DI31" s="25">
        <v>7.2069999999999999</v>
      </c>
      <c r="DJ31" s="25">
        <v>7.2069999999999999</v>
      </c>
      <c r="DK31" s="25">
        <v>10.352</v>
      </c>
      <c r="DL31" s="25">
        <v>7.2069999999999999</v>
      </c>
      <c r="DM31" s="25">
        <v>24.747</v>
      </c>
      <c r="DN31" s="25">
        <v>7.2069999999999999</v>
      </c>
      <c r="DO31" s="25">
        <v>7.2069999999999999</v>
      </c>
      <c r="DP31" s="25">
        <v>7.2069999999999999</v>
      </c>
      <c r="DQ31" s="25">
        <v>7.2069999999999999</v>
      </c>
      <c r="DR31" s="25">
        <v>7.2069999999999999</v>
      </c>
      <c r="DS31" s="25">
        <v>7.2069999999999999</v>
      </c>
      <c r="DT31" s="25">
        <v>7.2069999999999999</v>
      </c>
      <c r="DU31" s="25">
        <v>3.7189999999999999</v>
      </c>
      <c r="DV31" s="25">
        <v>7.2069999999999999</v>
      </c>
      <c r="DW31" s="25">
        <v>16.617000000000001</v>
      </c>
      <c r="DX31" s="25">
        <v>19.18</v>
      </c>
      <c r="DY31" s="25">
        <v>7.2069999999999999</v>
      </c>
      <c r="DZ31" s="25">
        <v>19.445</v>
      </c>
      <c r="EA31" s="25">
        <v>7.2069999999999999</v>
      </c>
      <c r="EB31" s="25">
        <v>2.2839999999999998</v>
      </c>
      <c r="EC31" s="25">
        <v>7.2069999999999999</v>
      </c>
      <c r="ED31" s="25">
        <v>7.2069999999999999</v>
      </c>
      <c r="EE31" s="25">
        <v>7.2069999999999999</v>
      </c>
      <c r="EF31" s="25">
        <v>7.2069999999999999</v>
      </c>
      <c r="EG31" s="25">
        <v>2.274</v>
      </c>
      <c r="EH31" s="25">
        <v>19.585000000000001</v>
      </c>
      <c r="EI31" s="25">
        <v>7.2069999999999999</v>
      </c>
      <c r="EJ31" s="25">
        <v>10.198</v>
      </c>
      <c r="EK31" s="25">
        <v>7.2069999999999999</v>
      </c>
      <c r="EL31" s="25">
        <v>7.2069999999999999</v>
      </c>
      <c r="EM31" s="25">
        <v>9.6189999999999998</v>
      </c>
      <c r="EN31" s="25">
        <v>7.2069999999999999</v>
      </c>
      <c r="EO31" s="25">
        <v>8.9320000000000004</v>
      </c>
      <c r="EP31" s="25">
        <v>7.2069999999999999</v>
      </c>
      <c r="EQ31" s="25">
        <v>7.2069999999999999</v>
      </c>
      <c r="ER31" s="25">
        <v>37.72</v>
      </c>
      <c r="ES31" s="25">
        <v>18.635999999999999</v>
      </c>
      <c r="ET31" s="25">
        <v>7.2069999999999999</v>
      </c>
      <c r="EU31" s="25">
        <v>7.2069999999999999</v>
      </c>
      <c r="EV31" s="25">
        <v>7.2069999999999999</v>
      </c>
      <c r="EW31" s="25"/>
    </row>
    <row r="32" spans="1:153" ht="17.25" customHeight="1" x14ac:dyDescent="0.25">
      <c r="A32" s="25" t="s">
        <v>150</v>
      </c>
      <c r="B32" s="25">
        <v>15.755000000000001</v>
      </c>
      <c r="C32" s="25">
        <v>10.459</v>
      </c>
      <c r="D32" s="25">
        <v>9.8469999999999995</v>
      </c>
      <c r="E32" s="25">
        <v>8.4600000000000009</v>
      </c>
      <c r="F32" s="25">
        <v>8.57</v>
      </c>
      <c r="G32" s="25">
        <v>6.5640000000000001</v>
      </c>
      <c r="H32" s="25">
        <v>5.8109999999999999</v>
      </c>
      <c r="I32" s="25">
        <v>4.5780000000000003</v>
      </c>
      <c r="J32" s="25">
        <v>4.3819999999999997</v>
      </c>
      <c r="K32" s="25">
        <v>3.5830000000000002</v>
      </c>
      <c r="L32" s="25">
        <v>2.8170000000000002</v>
      </c>
      <c r="M32" s="25">
        <v>8.9179999999999993</v>
      </c>
      <c r="N32" s="25">
        <v>7.55</v>
      </c>
      <c r="O32" s="25">
        <v>6.1050000000000004</v>
      </c>
      <c r="P32" s="25">
        <v>6.6440000000000001</v>
      </c>
      <c r="Q32" s="25">
        <v>8.7810000000000006</v>
      </c>
      <c r="R32" s="25">
        <v>7.7450000000000001</v>
      </c>
      <c r="S32" s="25">
        <v>6.992</v>
      </c>
      <c r="T32" s="25">
        <v>7.2549999999999999</v>
      </c>
      <c r="U32" s="25">
        <v>7.3970000000000002</v>
      </c>
      <c r="V32" s="25">
        <v>8.4120000000000008</v>
      </c>
      <c r="W32" s="25">
        <v>7.6849999999999996</v>
      </c>
      <c r="X32" s="25">
        <v>4.71</v>
      </c>
      <c r="Y32" s="25">
        <v>18.198</v>
      </c>
      <c r="Z32" s="25">
        <v>19.672999999999998</v>
      </c>
      <c r="AA32" s="25">
        <v>19.364000000000001</v>
      </c>
      <c r="AB32" s="25">
        <v>21.099</v>
      </c>
      <c r="AC32" s="25">
        <v>27.981999999999999</v>
      </c>
      <c r="AD32" s="25">
        <v>4.4640000000000004</v>
      </c>
      <c r="AE32" s="25">
        <v>15.727</v>
      </c>
      <c r="AF32" s="25">
        <v>0</v>
      </c>
      <c r="AG32" s="25">
        <v>1.429</v>
      </c>
      <c r="AH32" s="25">
        <v>10.459</v>
      </c>
      <c r="AI32" s="25">
        <v>6.1050000000000004</v>
      </c>
      <c r="AJ32" s="25">
        <v>5.8109999999999999</v>
      </c>
      <c r="AK32" s="25">
        <v>4.5780000000000003</v>
      </c>
      <c r="AL32" s="25">
        <v>8.7810000000000006</v>
      </c>
      <c r="AM32" s="25">
        <v>1.125</v>
      </c>
      <c r="AN32" s="25">
        <v>11.4</v>
      </c>
      <c r="AO32" s="25">
        <v>6.1050000000000004</v>
      </c>
      <c r="AP32" s="25">
        <v>16.584</v>
      </c>
      <c r="AQ32" s="25">
        <v>16.274000000000001</v>
      </c>
      <c r="AR32" s="25">
        <v>6.1050000000000004</v>
      </c>
      <c r="AS32" s="25">
        <v>6.1050000000000004</v>
      </c>
      <c r="AT32" s="25">
        <v>6.1050000000000004</v>
      </c>
      <c r="AU32" s="25">
        <v>10.186999999999999</v>
      </c>
      <c r="AV32" s="25">
        <v>6.1050000000000004</v>
      </c>
      <c r="AW32" s="25">
        <v>9.5709999999999997</v>
      </c>
      <c r="AX32" s="25">
        <v>11.731999999999999</v>
      </c>
      <c r="AY32" s="25">
        <v>6.1050000000000004</v>
      </c>
      <c r="AZ32" s="25">
        <v>7.0990000000000002</v>
      </c>
      <c r="BA32" s="25">
        <v>6.1050000000000004</v>
      </c>
      <c r="BB32" s="25">
        <v>6.7140000000000004</v>
      </c>
      <c r="BC32" s="25">
        <v>6.1050000000000004</v>
      </c>
      <c r="BD32" s="25">
        <v>6.5229999999999997</v>
      </c>
      <c r="BE32" s="25">
        <v>6.1050000000000004</v>
      </c>
      <c r="BF32" s="25">
        <v>41.113999999999997</v>
      </c>
      <c r="BG32" s="25">
        <v>6.1050000000000004</v>
      </c>
      <c r="BH32" s="25">
        <v>6.1050000000000004</v>
      </c>
      <c r="BI32" s="25">
        <v>29.294</v>
      </c>
      <c r="BJ32" s="25">
        <v>6.1050000000000004</v>
      </c>
      <c r="BK32" s="25">
        <v>6.1050000000000004</v>
      </c>
      <c r="BL32" s="25">
        <v>6.1050000000000004</v>
      </c>
      <c r="BM32" s="25">
        <v>6.1050000000000004</v>
      </c>
      <c r="BN32" s="25">
        <v>6.1050000000000004</v>
      </c>
      <c r="BO32" s="25">
        <v>6.1050000000000004</v>
      </c>
      <c r="BP32" s="25">
        <v>9.23</v>
      </c>
      <c r="BQ32" s="25">
        <v>8.8209999999999997</v>
      </c>
      <c r="BR32" s="25">
        <v>6.1050000000000004</v>
      </c>
      <c r="BS32" s="25">
        <v>6.1050000000000004</v>
      </c>
      <c r="BT32" s="25">
        <v>6.1050000000000004</v>
      </c>
      <c r="BU32" s="25">
        <v>11.359</v>
      </c>
      <c r="BV32" s="25">
        <v>6.1050000000000004</v>
      </c>
      <c r="BW32" s="25">
        <v>6.1050000000000004</v>
      </c>
      <c r="BX32" s="25">
        <v>3.4590000000000001</v>
      </c>
      <c r="BY32" s="25">
        <v>8.1470000000000002</v>
      </c>
      <c r="BZ32" s="25">
        <v>8.5850000000000009</v>
      </c>
      <c r="CA32" s="25">
        <v>6.1050000000000004</v>
      </c>
      <c r="CB32" s="25">
        <v>6.1050000000000004</v>
      </c>
      <c r="CC32" s="25">
        <v>17.292999999999999</v>
      </c>
      <c r="CD32" s="25">
        <v>18.198</v>
      </c>
      <c r="CE32" s="25">
        <v>6.1050000000000004</v>
      </c>
      <c r="CF32" s="25">
        <v>21.321000000000002</v>
      </c>
      <c r="CG32" s="25">
        <v>29.381</v>
      </c>
      <c r="CH32" s="25">
        <v>6.1050000000000004</v>
      </c>
      <c r="CI32" s="25">
        <v>6.1050000000000004</v>
      </c>
      <c r="CJ32" s="25">
        <v>6.1050000000000004</v>
      </c>
      <c r="CK32" s="25">
        <v>6.1050000000000004</v>
      </c>
      <c r="CL32" s="25">
        <v>6.1050000000000004</v>
      </c>
      <c r="CM32" s="25">
        <v>6.1050000000000004</v>
      </c>
      <c r="CN32" s="25">
        <v>6.1050000000000004</v>
      </c>
      <c r="CO32" s="25">
        <v>6.1050000000000004</v>
      </c>
      <c r="CP32" s="25">
        <v>6.1050000000000004</v>
      </c>
      <c r="CQ32" s="25">
        <v>6.1050000000000004</v>
      </c>
      <c r="CR32" s="25">
        <v>6.1050000000000004</v>
      </c>
      <c r="CS32" s="25">
        <v>47.994</v>
      </c>
      <c r="CT32" s="25">
        <v>6.1050000000000004</v>
      </c>
      <c r="CU32" s="25">
        <v>6.1050000000000004</v>
      </c>
      <c r="CV32" s="25">
        <v>4.5279999999999996</v>
      </c>
      <c r="CW32" s="25">
        <v>6.1050000000000004</v>
      </c>
      <c r="CX32" s="25">
        <v>6.1050000000000004</v>
      </c>
      <c r="CY32" s="25">
        <v>6.1050000000000004</v>
      </c>
      <c r="CZ32" s="25">
        <v>10.64</v>
      </c>
      <c r="DA32" s="25">
        <v>7.3159999999999998</v>
      </c>
      <c r="DB32" s="25">
        <v>21.800999999999998</v>
      </c>
      <c r="DC32" s="25">
        <v>21.134</v>
      </c>
      <c r="DD32" s="25">
        <v>9.8670000000000009</v>
      </c>
      <c r="DE32" s="25">
        <v>10.558</v>
      </c>
      <c r="DF32" s="25">
        <v>6.1050000000000004</v>
      </c>
      <c r="DG32" s="25">
        <v>13.499000000000001</v>
      </c>
      <c r="DH32" s="25">
        <v>39.034999999999997</v>
      </c>
      <c r="DI32" s="25">
        <v>6.1050000000000004</v>
      </c>
      <c r="DJ32" s="25">
        <v>6.1050000000000004</v>
      </c>
      <c r="DK32" s="25">
        <v>6.4939999999999998</v>
      </c>
      <c r="DL32" s="25">
        <v>6.1050000000000004</v>
      </c>
      <c r="DM32" s="25">
        <v>10.558</v>
      </c>
      <c r="DN32" s="25">
        <v>6.1050000000000004</v>
      </c>
      <c r="DO32" s="25">
        <v>6.1050000000000004</v>
      </c>
      <c r="DP32" s="25">
        <v>6.1050000000000004</v>
      </c>
      <c r="DQ32" s="25">
        <v>6.1050000000000004</v>
      </c>
      <c r="DR32" s="25">
        <v>6.1050000000000004</v>
      </c>
      <c r="DS32" s="25">
        <v>6.1050000000000004</v>
      </c>
      <c r="DT32" s="25">
        <v>6.1050000000000004</v>
      </c>
      <c r="DU32" s="25">
        <v>15.757</v>
      </c>
      <c r="DV32" s="25">
        <v>6.1050000000000004</v>
      </c>
      <c r="DW32" s="25">
        <v>2.5219999999999998</v>
      </c>
      <c r="DX32" s="25">
        <v>10.141</v>
      </c>
      <c r="DY32" s="25">
        <v>6.1050000000000004</v>
      </c>
      <c r="DZ32" s="25">
        <v>10.406000000000001</v>
      </c>
      <c r="EA32" s="25">
        <v>6.1050000000000004</v>
      </c>
      <c r="EB32" s="25">
        <v>13.47</v>
      </c>
      <c r="EC32" s="25">
        <v>6.1050000000000004</v>
      </c>
      <c r="ED32" s="25">
        <v>6.1050000000000004</v>
      </c>
      <c r="EE32" s="25">
        <v>6.1050000000000004</v>
      </c>
      <c r="EF32" s="25">
        <v>6.1050000000000004</v>
      </c>
      <c r="EG32" s="25">
        <v>14.311999999999999</v>
      </c>
      <c r="EH32" s="25">
        <v>5.8559999999999999</v>
      </c>
      <c r="EI32" s="25">
        <v>6.1050000000000004</v>
      </c>
      <c r="EJ32" s="25">
        <v>8.7810000000000006</v>
      </c>
      <c r="EK32" s="25">
        <v>6.1050000000000004</v>
      </c>
      <c r="EL32" s="25">
        <v>6.1050000000000004</v>
      </c>
      <c r="EM32" s="25">
        <v>7.492</v>
      </c>
      <c r="EN32" s="25">
        <v>6.1050000000000004</v>
      </c>
      <c r="EO32" s="25">
        <v>8.0790000000000006</v>
      </c>
      <c r="EP32" s="25">
        <v>6.1050000000000004</v>
      </c>
      <c r="EQ32" s="25">
        <v>6.1050000000000004</v>
      </c>
      <c r="ER32" s="25">
        <v>47.149000000000001</v>
      </c>
      <c r="ES32" s="25">
        <v>5.2530000000000001</v>
      </c>
      <c r="ET32" s="25">
        <v>6.1050000000000004</v>
      </c>
      <c r="EU32" s="25">
        <v>6.1050000000000004</v>
      </c>
      <c r="EV32" s="25">
        <v>6.1050000000000004</v>
      </c>
      <c r="EW32" s="25"/>
    </row>
    <row r="33" spans="1:153" ht="17.25" customHeight="1" x14ac:dyDescent="0.25">
      <c r="A33" s="25" t="s">
        <v>151</v>
      </c>
      <c r="B33" s="25">
        <v>16.015000000000001</v>
      </c>
      <c r="C33" s="25">
        <v>9.5839999999999996</v>
      </c>
      <c r="D33" s="25">
        <v>8.9719999999999995</v>
      </c>
      <c r="E33" s="25">
        <v>7.585</v>
      </c>
      <c r="F33" s="25">
        <v>7.6950000000000003</v>
      </c>
      <c r="G33" s="25">
        <v>5.6890000000000001</v>
      </c>
      <c r="H33" s="25">
        <v>4.9359999999999999</v>
      </c>
      <c r="I33" s="25">
        <v>3.7029999999999998</v>
      </c>
      <c r="J33" s="25">
        <v>3.5070000000000001</v>
      </c>
      <c r="K33" s="25">
        <v>2.7080000000000002</v>
      </c>
      <c r="L33" s="25">
        <v>1.9430000000000001</v>
      </c>
      <c r="M33" s="25">
        <v>8.0429999999999993</v>
      </c>
      <c r="N33" s="25">
        <v>6.6749999999999998</v>
      </c>
      <c r="O33" s="25">
        <v>5.23</v>
      </c>
      <c r="P33" s="25">
        <v>5.7690000000000001</v>
      </c>
      <c r="Q33" s="25">
        <v>6.2110000000000003</v>
      </c>
      <c r="R33" s="25">
        <v>8.0050000000000008</v>
      </c>
      <c r="S33" s="25">
        <v>7.2519999999999998</v>
      </c>
      <c r="T33" s="25">
        <v>7.5149999999999997</v>
      </c>
      <c r="U33" s="25">
        <v>5.7770000000000001</v>
      </c>
      <c r="V33" s="25">
        <v>5.7060000000000004</v>
      </c>
      <c r="W33" s="25">
        <v>5.1779999999999999</v>
      </c>
      <c r="X33" s="25">
        <v>5.1440000000000001</v>
      </c>
      <c r="Y33" s="25">
        <v>18.457999999999998</v>
      </c>
      <c r="Z33" s="25">
        <v>19.933</v>
      </c>
      <c r="AA33" s="25">
        <v>19.623999999999999</v>
      </c>
      <c r="AB33" s="25">
        <v>21.359000000000002</v>
      </c>
      <c r="AC33" s="25">
        <v>28.242000000000001</v>
      </c>
      <c r="AD33" s="25">
        <v>4.8979999999999997</v>
      </c>
      <c r="AE33" s="25">
        <v>15.987</v>
      </c>
      <c r="AF33" s="25">
        <v>1.4350000000000001</v>
      </c>
      <c r="AG33" s="25">
        <v>0</v>
      </c>
      <c r="AH33" s="25">
        <v>9.5839999999999996</v>
      </c>
      <c r="AI33" s="25">
        <v>5.23</v>
      </c>
      <c r="AJ33" s="25">
        <v>4.9359999999999999</v>
      </c>
      <c r="AK33" s="25">
        <v>3.7029999999999998</v>
      </c>
      <c r="AL33" s="25">
        <v>6.2110000000000003</v>
      </c>
      <c r="AM33" s="25">
        <v>0.35099999999999998</v>
      </c>
      <c r="AN33" s="25">
        <v>9.7799999999999994</v>
      </c>
      <c r="AO33" s="25">
        <v>5.23</v>
      </c>
      <c r="AP33" s="25">
        <v>16.844000000000001</v>
      </c>
      <c r="AQ33" s="25">
        <v>16.533999999999999</v>
      </c>
      <c r="AR33" s="25">
        <v>5.23</v>
      </c>
      <c r="AS33" s="25">
        <v>5.23</v>
      </c>
      <c r="AT33" s="25">
        <v>5.23</v>
      </c>
      <c r="AU33" s="25">
        <v>9.3119999999999994</v>
      </c>
      <c r="AV33" s="25">
        <v>5.23</v>
      </c>
      <c r="AW33" s="25">
        <v>9.8309999999999995</v>
      </c>
      <c r="AX33" s="25">
        <v>10.856999999999999</v>
      </c>
      <c r="AY33" s="25">
        <v>5.23</v>
      </c>
      <c r="AZ33" s="25">
        <v>6.2240000000000002</v>
      </c>
      <c r="BA33" s="25">
        <v>5.23</v>
      </c>
      <c r="BB33" s="25">
        <v>5.8390000000000004</v>
      </c>
      <c r="BC33" s="25">
        <v>5.23</v>
      </c>
      <c r="BD33" s="25">
        <v>5.6479999999999997</v>
      </c>
      <c r="BE33" s="25">
        <v>5.23</v>
      </c>
      <c r="BF33" s="25">
        <v>41.374000000000002</v>
      </c>
      <c r="BG33" s="25">
        <v>5.23</v>
      </c>
      <c r="BH33" s="25">
        <v>5.23</v>
      </c>
      <c r="BI33" s="25">
        <v>29.553999999999998</v>
      </c>
      <c r="BJ33" s="25">
        <v>5.23</v>
      </c>
      <c r="BK33" s="25">
        <v>5.23</v>
      </c>
      <c r="BL33" s="25">
        <v>5.23</v>
      </c>
      <c r="BM33" s="25">
        <v>5.23</v>
      </c>
      <c r="BN33" s="25">
        <v>5.23</v>
      </c>
      <c r="BO33" s="25">
        <v>5.23</v>
      </c>
      <c r="BP33" s="25">
        <v>6.3490000000000002</v>
      </c>
      <c r="BQ33" s="25">
        <v>7.9459999999999997</v>
      </c>
      <c r="BR33" s="25">
        <v>5.23</v>
      </c>
      <c r="BS33" s="25">
        <v>5.23</v>
      </c>
      <c r="BT33" s="25">
        <v>5.23</v>
      </c>
      <c r="BU33" s="25">
        <v>9.2029999999999994</v>
      </c>
      <c r="BV33" s="25">
        <v>5.23</v>
      </c>
      <c r="BW33" s="25">
        <v>5.23</v>
      </c>
      <c r="BX33" s="25">
        <v>1.4279999999999999</v>
      </c>
      <c r="BY33" s="25">
        <v>7.2720000000000002</v>
      </c>
      <c r="BZ33" s="25">
        <v>7.71</v>
      </c>
      <c r="CA33" s="25">
        <v>5.23</v>
      </c>
      <c r="CB33" s="25">
        <v>5.23</v>
      </c>
      <c r="CC33" s="25">
        <v>17.553000000000001</v>
      </c>
      <c r="CD33" s="25">
        <v>18.457999999999998</v>
      </c>
      <c r="CE33" s="25">
        <v>5.23</v>
      </c>
      <c r="CF33" s="25">
        <v>21.581</v>
      </c>
      <c r="CG33" s="25">
        <v>29.640999999999998</v>
      </c>
      <c r="CH33" s="25">
        <v>5.23</v>
      </c>
      <c r="CI33" s="25">
        <v>5.23</v>
      </c>
      <c r="CJ33" s="25">
        <v>5.23</v>
      </c>
      <c r="CK33" s="25">
        <v>5.23</v>
      </c>
      <c r="CL33" s="25">
        <v>5.23</v>
      </c>
      <c r="CM33" s="25">
        <v>5.23</v>
      </c>
      <c r="CN33" s="25">
        <v>5.23</v>
      </c>
      <c r="CO33" s="25">
        <v>5.23</v>
      </c>
      <c r="CP33" s="25">
        <v>5.23</v>
      </c>
      <c r="CQ33" s="25">
        <v>5.23</v>
      </c>
      <c r="CR33" s="25">
        <v>5.23</v>
      </c>
      <c r="CS33" s="25">
        <v>48.253999999999998</v>
      </c>
      <c r="CT33" s="25">
        <v>5.23</v>
      </c>
      <c r="CU33" s="25">
        <v>5.23</v>
      </c>
      <c r="CV33" s="25">
        <v>3.653</v>
      </c>
      <c r="CW33" s="25">
        <v>5.23</v>
      </c>
      <c r="CX33" s="25">
        <v>5.23</v>
      </c>
      <c r="CY33" s="25">
        <v>5.23</v>
      </c>
      <c r="CZ33" s="25">
        <v>8.484</v>
      </c>
      <c r="DA33" s="25">
        <v>6.4409999999999998</v>
      </c>
      <c r="DB33" s="25">
        <v>22.061</v>
      </c>
      <c r="DC33" s="25">
        <v>21.393999999999998</v>
      </c>
      <c r="DD33" s="25">
        <v>8.9920000000000009</v>
      </c>
      <c r="DE33" s="25">
        <v>12.010999999999999</v>
      </c>
      <c r="DF33" s="25">
        <v>5.23</v>
      </c>
      <c r="DG33" s="25">
        <v>13.759</v>
      </c>
      <c r="DH33" s="25">
        <v>39.295000000000002</v>
      </c>
      <c r="DI33" s="25">
        <v>5.23</v>
      </c>
      <c r="DJ33" s="25">
        <v>5.23</v>
      </c>
      <c r="DK33" s="25">
        <v>5.6189999999999998</v>
      </c>
      <c r="DL33" s="25">
        <v>5.23</v>
      </c>
      <c r="DM33" s="25">
        <v>12.010999999999999</v>
      </c>
      <c r="DN33" s="25">
        <v>5.23</v>
      </c>
      <c r="DO33" s="25">
        <v>5.23</v>
      </c>
      <c r="DP33" s="25">
        <v>5.23</v>
      </c>
      <c r="DQ33" s="25">
        <v>5.23</v>
      </c>
      <c r="DR33" s="25">
        <v>5.23</v>
      </c>
      <c r="DS33" s="25">
        <v>5.23</v>
      </c>
      <c r="DT33" s="25">
        <v>5.23</v>
      </c>
      <c r="DU33" s="25">
        <v>9.8439999999999994</v>
      </c>
      <c r="DV33" s="25">
        <v>5.23</v>
      </c>
      <c r="DW33" s="25">
        <v>3.6680000000000001</v>
      </c>
      <c r="DX33" s="25">
        <v>9.859</v>
      </c>
      <c r="DY33" s="25">
        <v>5.23</v>
      </c>
      <c r="DZ33" s="25">
        <v>10.124000000000001</v>
      </c>
      <c r="EA33" s="25">
        <v>5.23</v>
      </c>
      <c r="EB33" s="25">
        <v>13.73</v>
      </c>
      <c r="EC33" s="25">
        <v>5.23</v>
      </c>
      <c r="ED33" s="25">
        <v>5.23</v>
      </c>
      <c r="EE33" s="25">
        <v>5.23</v>
      </c>
      <c r="EF33" s="25">
        <v>5.23</v>
      </c>
      <c r="EG33" s="25">
        <v>14.571999999999999</v>
      </c>
      <c r="EH33" s="25">
        <v>5.1029999999999998</v>
      </c>
      <c r="EI33" s="25">
        <v>5.23</v>
      </c>
      <c r="EJ33" s="25">
        <v>6.2110000000000003</v>
      </c>
      <c r="EK33" s="25">
        <v>5.23</v>
      </c>
      <c r="EL33" s="25">
        <v>5.23</v>
      </c>
      <c r="EM33" s="25">
        <v>3.9060000000000001</v>
      </c>
      <c r="EN33" s="25">
        <v>5.23</v>
      </c>
      <c r="EO33" s="25">
        <v>5.665</v>
      </c>
      <c r="EP33" s="25">
        <v>5.23</v>
      </c>
      <c r="EQ33" s="25">
        <v>5.23</v>
      </c>
      <c r="ER33" s="25">
        <v>47.408999999999999</v>
      </c>
      <c r="ES33" s="25">
        <v>5.6870000000000003</v>
      </c>
      <c r="ET33" s="25">
        <v>5.23</v>
      </c>
      <c r="EU33" s="25">
        <v>5.23</v>
      </c>
      <c r="EV33" s="25">
        <v>5.23</v>
      </c>
      <c r="EW33" s="25"/>
    </row>
    <row r="34" spans="1:153" ht="17.25" customHeight="1" x14ac:dyDescent="0.25">
      <c r="A34" s="25" t="s">
        <v>102</v>
      </c>
      <c r="B34" s="25">
        <v>1.2509999999999999</v>
      </c>
      <c r="C34" s="25">
        <v>0</v>
      </c>
      <c r="D34" s="25">
        <v>2.0249999999999999</v>
      </c>
      <c r="E34" s="25">
        <v>3.2069999999999999</v>
      </c>
      <c r="F34" s="25">
        <v>3.9009999999999998</v>
      </c>
      <c r="G34" s="25">
        <v>4.9329999999999998</v>
      </c>
      <c r="H34" s="25">
        <v>5.6870000000000003</v>
      </c>
      <c r="I34" s="25">
        <v>6.9589999999999996</v>
      </c>
      <c r="J34" s="25">
        <v>7.2270000000000003</v>
      </c>
      <c r="K34" s="25">
        <v>8.2050000000000001</v>
      </c>
      <c r="L34" s="25">
        <v>17.068000000000001</v>
      </c>
      <c r="M34" s="25">
        <v>8.1940000000000008</v>
      </c>
      <c r="N34" s="25">
        <v>7.125</v>
      </c>
      <c r="O34" s="25">
        <v>5.3929999999999998</v>
      </c>
      <c r="P34" s="25">
        <v>6.4329999999999998</v>
      </c>
      <c r="Q34" s="25">
        <v>6.375</v>
      </c>
      <c r="R34" s="25">
        <v>10.109</v>
      </c>
      <c r="S34" s="25">
        <v>9.3559999999999999</v>
      </c>
      <c r="T34" s="25">
        <v>9.8620000000000001</v>
      </c>
      <c r="U34" s="25">
        <v>11.766999999999999</v>
      </c>
      <c r="V34" s="25">
        <v>11.35</v>
      </c>
      <c r="W34" s="25">
        <v>10.622999999999999</v>
      </c>
      <c r="X34" s="25">
        <v>19.041</v>
      </c>
      <c r="Y34" s="25">
        <v>5.2649999999999997</v>
      </c>
      <c r="Z34" s="25">
        <v>6.74</v>
      </c>
      <c r="AA34" s="25">
        <v>8.1340000000000003</v>
      </c>
      <c r="AB34" s="25">
        <v>9.8689999999999998</v>
      </c>
      <c r="AC34" s="25">
        <v>19.5</v>
      </c>
      <c r="AD34" s="25">
        <v>18.795000000000002</v>
      </c>
      <c r="AE34" s="25">
        <v>3.008</v>
      </c>
      <c r="AF34" s="25">
        <v>15.375</v>
      </c>
      <c r="AG34" s="25">
        <v>15.664</v>
      </c>
      <c r="AH34" s="25">
        <v>0</v>
      </c>
      <c r="AI34" s="25">
        <v>5.3929999999999998</v>
      </c>
      <c r="AJ34" s="25">
        <v>5.6870000000000003</v>
      </c>
      <c r="AK34" s="25">
        <v>6.9589999999999996</v>
      </c>
      <c r="AL34" s="25">
        <v>6.375</v>
      </c>
      <c r="AM34" s="25">
        <v>15.467000000000001</v>
      </c>
      <c r="AN34" s="25">
        <v>15.343999999999999</v>
      </c>
      <c r="AO34" s="25">
        <v>5.3929999999999998</v>
      </c>
      <c r="AP34" s="25">
        <v>2.6360000000000001</v>
      </c>
      <c r="AQ34" s="25">
        <v>1.704</v>
      </c>
      <c r="AR34" s="25">
        <v>5.3929999999999998</v>
      </c>
      <c r="AS34" s="25">
        <v>5.3929999999999998</v>
      </c>
      <c r="AT34" s="25">
        <v>5.3929999999999998</v>
      </c>
      <c r="AU34" s="25">
        <v>3.8820000000000001</v>
      </c>
      <c r="AV34" s="25">
        <v>5.3929999999999998</v>
      </c>
      <c r="AW34" s="25">
        <v>6.2460000000000004</v>
      </c>
      <c r="AX34" s="25">
        <v>10.974</v>
      </c>
      <c r="AY34" s="25">
        <v>5.3929999999999998</v>
      </c>
      <c r="AZ34" s="25">
        <v>7.2919999999999998</v>
      </c>
      <c r="BA34" s="25">
        <v>5.3929999999999998</v>
      </c>
      <c r="BB34" s="25">
        <v>5.9210000000000003</v>
      </c>
      <c r="BC34" s="25">
        <v>5.3929999999999998</v>
      </c>
      <c r="BD34" s="25">
        <v>6.7160000000000002</v>
      </c>
      <c r="BE34" s="25">
        <v>5.3929999999999998</v>
      </c>
      <c r="BF34" s="25">
        <v>32.633000000000003</v>
      </c>
      <c r="BG34" s="25">
        <v>5.3929999999999998</v>
      </c>
      <c r="BH34" s="25">
        <v>5.3929999999999998</v>
      </c>
      <c r="BI34" s="25">
        <v>21.055</v>
      </c>
      <c r="BJ34" s="25">
        <v>5.3929999999999998</v>
      </c>
      <c r="BK34" s="25">
        <v>5.3929999999999998</v>
      </c>
      <c r="BL34" s="25">
        <v>5.3929999999999998</v>
      </c>
      <c r="BM34" s="25">
        <v>5.3929999999999998</v>
      </c>
      <c r="BN34" s="25">
        <v>5.3929999999999998</v>
      </c>
      <c r="BO34" s="25">
        <v>5.3929999999999998</v>
      </c>
      <c r="BP34" s="25">
        <v>11.337999999999999</v>
      </c>
      <c r="BQ34" s="25">
        <v>4.0419999999999998</v>
      </c>
      <c r="BR34" s="25">
        <v>5.3929999999999998</v>
      </c>
      <c r="BS34" s="25">
        <v>5.3929999999999998</v>
      </c>
      <c r="BT34" s="25">
        <v>5.3929999999999998</v>
      </c>
      <c r="BU34" s="25">
        <v>7.5730000000000004</v>
      </c>
      <c r="BV34" s="25">
        <v>5.3929999999999998</v>
      </c>
      <c r="BW34" s="25">
        <v>5.3929999999999998</v>
      </c>
      <c r="BX34" s="25">
        <v>13.688000000000001</v>
      </c>
      <c r="BY34" s="25">
        <v>5.0570000000000004</v>
      </c>
      <c r="BZ34" s="25">
        <v>3.9260000000000002</v>
      </c>
      <c r="CA34" s="25">
        <v>5.3929999999999998</v>
      </c>
      <c r="CB34" s="25">
        <v>5.3929999999999998</v>
      </c>
      <c r="CC34" s="25">
        <v>4.3600000000000003</v>
      </c>
      <c r="CD34" s="25">
        <v>5.2649999999999997</v>
      </c>
      <c r="CE34" s="25">
        <v>5.3929999999999998</v>
      </c>
      <c r="CF34" s="25">
        <v>12.839</v>
      </c>
      <c r="CG34" s="25">
        <v>20.899000000000001</v>
      </c>
      <c r="CH34" s="25">
        <v>5.3929999999999998</v>
      </c>
      <c r="CI34" s="25">
        <v>5.3929999999999998</v>
      </c>
      <c r="CJ34" s="25">
        <v>5.3929999999999998</v>
      </c>
      <c r="CK34" s="25">
        <v>5.3929999999999998</v>
      </c>
      <c r="CL34" s="25">
        <v>5.3929999999999998</v>
      </c>
      <c r="CM34" s="25">
        <v>5.3929999999999998</v>
      </c>
      <c r="CN34" s="25">
        <v>5.3929999999999998</v>
      </c>
      <c r="CO34" s="25">
        <v>5.3929999999999998</v>
      </c>
      <c r="CP34" s="25">
        <v>5.3929999999999998</v>
      </c>
      <c r="CQ34" s="25">
        <v>5.3929999999999998</v>
      </c>
      <c r="CR34" s="25">
        <v>5.3929999999999998</v>
      </c>
      <c r="CS34" s="25">
        <v>39.755000000000003</v>
      </c>
      <c r="CT34" s="25">
        <v>5.3929999999999998</v>
      </c>
      <c r="CU34" s="25">
        <v>5.3929999999999998</v>
      </c>
      <c r="CV34" s="25">
        <v>8.2669999999999995</v>
      </c>
      <c r="CW34" s="25">
        <v>5.3929999999999998</v>
      </c>
      <c r="CX34" s="25">
        <v>5.3929999999999998</v>
      </c>
      <c r="CY34" s="25">
        <v>5.3929999999999998</v>
      </c>
      <c r="CZ34" s="25">
        <v>6.8540000000000001</v>
      </c>
      <c r="DA34" s="25">
        <v>5.6029999999999998</v>
      </c>
      <c r="DB34" s="25">
        <v>8.8680000000000003</v>
      </c>
      <c r="DC34" s="25">
        <v>8.2010000000000005</v>
      </c>
      <c r="DD34" s="25">
        <v>2.6579999999999999</v>
      </c>
      <c r="DE34" s="25">
        <v>25.695</v>
      </c>
      <c r="DF34" s="25">
        <v>5.3929999999999998</v>
      </c>
      <c r="DG34" s="25">
        <v>3.2610000000000001</v>
      </c>
      <c r="DH34" s="25">
        <v>30.553999999999998</v>
      </c>
      <c r="DI34" s="25">
        <v>5.3929999999999998</v>
      </c>
      <c r="DJ34" s="25">
        <v>5.3929999999999998</v>
      </c>
      <c r="DK34" s="25">
        <v>7.0460000000000003</v>
      </c>
      <c r="DL34" s="25">
        <v>5.3929999999999998</v>
      </c>
      <c r="DM34" s="25">
        <v>25.695</v>
      </c>
      <c r="DN34" s="25">
        <v>5.3929999999999998</v>
      </c>
      <c r="DO34" s="25">
        <v>5.3929999999999998</v>
      </c>
      <c r="DP34" s="25">
        <v>5.3929999999999998</v>
      </c>
      <c r="DQ34" s="25">
        <v>5.3929999999999998</v>
      </c>
      <c r="DR34" s="25">
        <v>5.3929999999999998</v>
      </c>
      <c r="DS34" s="25">
        <v>5.3929999999999998</v>
      </c>
      <c r="DT34" s="25">
        <v>5.3929999999999998</v>
      </c>
      <c r="DU34" s="25">
        <v>2.5190000000000001</v>
      </c>
      <c r="DV34" s="25">
        <v>5.3929999999999998</v>
      </c>
      <c r="DW34" s="25">
        <v>17.565000000000001</v>
      </c>
      <c r="DX34" s="25">
        <v>20.128</v>
      </c>
      <c r="DY34" s="25">
        <v>5.3929999999999998</v>
      </c>
      <c r="DZ34" s="25">
        <v>20.393000000000001</v>
      </c>
      <c r="EA34" s="25">
        <v>5.3929999999999998</v>
      </c>
      <c r="EB34" s="25">
        <v>3.2320000000000002</v>
      </c>
      <c r="EC34" s="25">
        <v>5.3929999999999998</v>
      </c>
      <c r="ED34" s="25">
        <v>5.3929999999999998</v>
      </c>
      <c r="EE34" s="25">
        <v>5.3929999999999998</v>
      </c>
      <c r="EF34" s="25">
        <v>5.3929999999999998</v>
      </c>
      <c r="EG34" s="25">
        <v>2.74</v>
      </c>
      <c r="EH34" s="25">
        <v>20.533000000000001</v>
      </c>
      <c r="EI34" s="25">
        <v>5.3929999999999998</v>
      </c>
      <c r="EJ34" s="25">
        <v>6.375</v>
      </c>
      <c r="EK34" s="25">
        <v>5.3929999999999998</v>
      </c>
      <c r="EL34" s="25">
        <v>5.3929999999999998</v>
      </c>
      <c r="EM34" s="25">
        <v>10.567</v>
      </c>
      <c r="EN34" s="25">
        <v>5.3929999999999998</v>
      </c>
      <c r="EO34" s="25">
        <v>9.8800000000000008</v>
      </c>
      <c r="EP34" s="25">
        <v>5.3929999999999998</v>
      </c>
      <c r="EQ34" s="25">
        <v>5.3929999999999998</v>
      </c>
      <c r="ER34" s="25">
        <v>38.667999999999999</v>
      </c>
      <c r="ES34" s="25">
        <v>19.584</v>
      </c>
      <c r="ET34" s="25">
        <v>5.3929999999999998</v>
      </c>
      <c r="EU34" s="25">
        <v>5.3929999999999998</v>
      </c>
      <c r="EV34" s="25">
        <v>5.3929999999999998</v>
      </c>
      <c r="EW34" s="25"/>
    </row>
    <row r="35" spans="1:153" ht="17.25" customHeight="1" x14ac:dyDescent="0.25">
      <c r="A35" s="25" t="s">
        <v>152</v>
      </c>
      <c r="B35" s="25">
        <v>5.6050000000000004</v>
      </c>
      <c r="C35" s="25">
        <v>4.3540000000000001</v>
      </c>
      <c r="D35" s="25">
        <v>3.742</v>
      </c>
      <c r="E35" s="25">
        <v>2.355</v>
      </c>
      <c r="F35" s="25">
        <v>2.4649999999999999</v>
      </c>
      <c r="G35" s="25">
        <v>0.46</v>
      </c>
      <c r="H35" s="25">
        <v>0.29399999999999998</v>
      </c>
      <c r="I35" s="25">
        <v>1.5660000000000001</v>
      </c>
      <c r="J35" s="25">
        <v>1.8340000000000001</v>
      </c>
      <c r="K35" s="25">
        <v>2.8119999999999998</v>
      </c>
      <c r="L35" s="25">
        <v>3.7679999999999998</v>
      </c>
      <c r="M35" s="25">
        <v>3.718</v>
      </c>
      <c r="N35" s="25">
        <v>2.35</v>
      </c>
      <c r="O35" s="25">
        <v>0</v>
      </c>
      <c r="P35" s="25">
        <v>1.327</v>
      </c>
      <c r="Q35" s="25">
        <v>2.1219999999999999</v>
      </c>
      <c r="R35" s="25">
        <v>2.98</v>
      </c>
      <c r="S35" s="25">
        <v>4.2060000000000004</v>
      </c>
      <c r="T35" s="25">
        <v>4.4690000000000003</v>
      </c>
      <c r="U35" s="25">
        <v>6.7939999999999996</v>
      </c>
      <c r="V35" s="25">
        <v>5.9569999999999999</v>
      </c>
      <c r="W35" s="25">
        <v>5.23</v>
      </c>
      <c r="X35" s="25">
        <v>9.8219999999999992</v>
      </c>
      <c r="Y35" s="25">
        <v>10.385999999999999</v>
      </c>
      <c r="Z35" s="25">
        <v>11.862</v>
      </c>
      <c r="AA35" s="25">
        <v>16.582000000000001</v>
      </c>
      <c r="AB35" s="25">
        <v>18.317</v>
      </c>
      <c r="AC35" s="25">
        <v>25.2</v>
      </c>
      <c r="AD35" s="25">
        <v>9.5760000000000005</v>
      </c>
      <c r="AE35" s="25">
        <v>7.3620000000000001</v>
      </c>
      <c r="AF35" s="25">
        <v>6.1390000000000002</v>
      </c>
      <c r="AG35" s="25">
        <v>5.2320000000000002</v>
      </c>
      <c r="AH35" s="25">
        <v>4.3540000000000001</v>
      </c>
      <c r="AI35" s="25">
        <v>0</v>
      </c>
      <c r="AJ35" s="25">
        <v>0.29399999999999998</v>
      </c>
      <c r="AK35" s="25">
        <v>1.5660000000000001</v>
      </c>
      <c r="AL35" s="25">
        <v>2.1219999999999999</v>
      </c>
      <c r="AM35" s="25">
        <v>4.97</v>
      </c>
      <c r="AN35" s="25">
        <v>11.773999999999999</v>
      </c>
      <c r="AO35" s="25">
        <v>0</v>
      </c>
      <c r="AP35" s="25">
        <v>7.8979999999999997</v>
      </c>
      <c r="AQ35" s="25">
        <v>4.8360000000000003</v>
      </c>
      <c r="AR35" s="25">
        <v>0</v>
      </c>
      <c r="AS35" s="25">
        <v>0</v>
      </c>
      <c r="AT35" s="25">
        <v>0</v>
      </c>
      <c r="AU35" s="25">
        <v>4.3250000000000002</v>
      </c>
      <c r="AV35" s="25">
        <v>0</v>
      </c>
      <c r="AW35" s="25">
        <v>3.9079999999999999</v>
      </c>
      <c r="AX35" s="25">
        <v>6.532</v>
      </c>
      <c r="AY35" s="25">
        <v>0</v>
      </c>
      <c r="AZ35" s="25">
        <v>1.899</v>
      </c>
      <c r="BA35" s="25">
        <v>0</v>
      </c>
      <c r="BB35" s="25">
        <v>1.3979999999999999</v>
      </c>
      <c r="BC35" s="25">
        <v>0</v>
      </c>
      <c r="BD35" s="25">
        <v>1.323</v>
      </c>
      <c r="BE35" s="25">
        <v>0</v>
      </c>
      <c r="BF35" s="25">
        <v>38.332000000000001</v>
      </c>
      <c r="BG35" s="25">
        <v>0</v>
      </c>
      <c r="BH35" s="25">
        <v>0</v>
      </c>
      <c r="BI35" s="25">
        <v>26.510999999999999</v>
      </c>
      <c r="BJ35" s="25">
        <v>0</v>
      </c>
      <c r="BK35" s="25">
        <v>0</v>
      </c>
      <c r="BL35" s="25">
        <v>0</v>
      </c>
      <c r="BM35" s="25">
        <v>0</v>
      </c>
      <c r="BN35" s="25">
        <v>0</v>
      </c>
      <c r="BO35" s="25">
        <v>0</v>
      </c>
      <c r="BP35" s="25">
        <v>6.7750000000000004</v>
      </c>
      <c r="BQ35" s="25">
        <v>2.7160000000000002</v>
      </c>
      <c r="BR35" s="25">
        <v>0</v>
      </c>
      <c r="BS35" s="25">
        <v>0</v>
      </c>
      <c r="BT35" s="25">
        <v>0</v>
      </c>
      <c r="BU35" s="25">
        <v>8.5730000000000004</v>
      </c>
      <c r="BV35" s="25">
        <v>0</v>
      </c>
      <c r="BW35" s="25">
        <v>0</v>
      </c>
      <c r="BX35" s="25">
        <v>4.8630000000000004</v>
      </c>
      <c r="BY35" s="25">
        <v>1.661</v>
      </c>
      <c r="BZ35" s="25">
        <v>2.48</v>
      </c>
      <c r="CA35" s="25">
        <v>0</v>
      </c>
      <c r="CB35" s="25">
        <v>0</v>
      </c>
      <c r="CC35" s="25">
        <v>8.5419999999999998</v>
      </c>
      <c r="CD35" s="25">
        <v>10.385999999999999</v>
      </c>
      <c r="CE35" s="25">
        <v>0</v>
      </c>
      <c r="CF35" s="25">
        <v>18.539000000000001</v>
      </c>
      <c r="CG35" s="25">
        <v>26.599</v>
      </c>
      <c r="CH35" s="25">
        <v>0</v>
      </c>
      <c r="CI35" s="25">
        <v>0</v>
      </c>
      <c r="CJ35" s="25">
        <v>0</v>
      </c>
      <c r="CK35" s="25">
        <v>0</v>
      </c>
      <c r="CL35" s="25">
        <v>0</v>
      </c>
      <c r="CM35" s="25">
        <v>0</v>
      </c>
      <c r="CN35" s="25">
        <v>0</v>
      </c>
      <c r="CO35" s="25">
        <v>0</v>
      </c>
      <c r="CP35" s="25">
        <v>0</v>
      </c>
      <c r="CQ35" s="25">
        <v>0</v>
      </c>
      <c r="CR35" s="25">
        <v>0</v>
      </c>
      <c r="CS35" s="25">
        <v>45.210999999999999</v>
      </c>
      <c r="CT35" s="25">
        <v>0</v>
      </c>
      <c r="CU35" s="25">
        <v>0</v>
      </c>
      <c r="CV35" s="25">
        <v>3.0449999999999999</v>
      </c>
      <c r="CW35" s="25">
        <v>0</v>
      </c>
      <c r="CX35" s="25">
        <v>0</v>
      </c>
      <c r="CY35" s="25">
        <v>0</v>
      </c>
      <c r="CZ35" s="25">
        <v>7.8540000000000001</v>
      </c>
      <c r="DA35" s="25">
        <v>2.0979999999999999</v>
      </c>
      <c r="DB35" s="25">
        <v>13.99</v>
      </c>
      <c r="DC35" s="25">
        <v>13.323</v>
      </c>
      <c r="DD35" s="25">
        <v>3.762</v>
      </c>
      <c r="DE35" s="25">
        <v>16.651</v>
      </c>
      <c r="DF35" s="25">
        <v>0</v>
      </c>
      <c r="DG35" s="25">
        <v>7.407</v>
      </c>
      <c r="DH35" s="25">
        <v>36.253</v>
      </c>
      <c r="DI35" s="25">
        <v>0</v>
      </c>
      <c r="DJ35" s="25">
        <v>0</v>
      </c>
      <c r="DK35" s="25">
        <v>2.4380000000000002</v>
      </c>
      <c r="DL35" s="25">
        <v>0</v>
      </c>
      <c r="DM35" s="25">
        <v>16.651</v>
      </c>
      <c r="DN35" s="25">
        <v>0</v>
      </c>
      <c r="DO35" s="25">
        <v>0</v>
      </c>
      <c r="DP35" s="25">
        <v>0</v>
      </c>
      <c r="DQ35" s="25">
        <v>0</v>
      </c>
      <c r="DR35" s="25">
        <v>0</v>
      </c>
      <c r="DS35" s="25">
        <v>0</v>
      </c>
      <c r="DT35" s="25">
        <v>0</v>
      </c>
      <c r="DU35" s="25">
        <v>5.5010000000000003</v>
      </c>
      <c r="DV35" s="25">
        <v>0</v>
      </c>
      <c r="DW35" s="25">
        <v>8.3460000000000001</v>
      </c>
      <c r="DX35" s="25">
        <v>14.747999999999999</v>
      </c>
      <c r="DY35" s="25">
        <v>0</v>
      </c>
      <c r="DZ35" s="25">
        <v>15.013</v>
      </c>
      <c r="EA35" s="25">
        <v>0</v>
      </c>
      <c r="EB35" s="25">
        <v>7.3780000000000001</v>
      </c>
      <c r="EC35" s="25">
        <v>0</v>
      </c>
      <c r="ED35" s="25">
        <v>0</v>
      </c>
      <c r="EE35" s="25">
        <v>0</v>
      </c>
      <c r="EF35" s="25">
        <v>0</v>
      </c>
      <c r="EG35" s="25">
        <v>6.6349999999999998</v>
      </c>
      <c r="EH35" s="25">
        <v>7.3650000000000002</v>
      </c>
      <c r="EI35" s="25">
        <v>0</v>
      </c>
      <c r="EJ35" s="25">
        <v>2.1219999999999999</v>
      </c>
      <c r="EK35" s="25">
        <v>0</v>
      </c>
      <c r="EL35" s="25">
        <v>0</v>
      </c>
      <c r="EM35" s="25">
        <v>5.1740000000000004</v>
      </c>
      <c r="EN35" s="25">
        <v>0</v>
      </c>
      <c r="EO35" s="25">
        <v>5.2930000000000001</v>
      </c>
      <c r="EP35" s="25">
        <v>0</v>
      </c>
      <c r="EQ35" s="25">
        <v>0</v>
      </c>
      <c r="ER35" s="25">
        <v>44.366999999999997</v>
      </c>
      <c r="ES35" s="25">
        <v>10.365</v>
      </c>
      <c r="ET35" s="25">
        <v>0</v>
      </c>
      <c r="EU35" s="25">
        <v>0</v>
      </c>
      <c r="EV35" s="25">
        <v>0</v>
      </c>
      <c r="EW35" s="25"/>
    </row>
    <row r="36" spans="1:153" ht="17.25" customHeight="1" x14ac:dyDescent="0.25">
      <c r="A36" s="25" t="s">
        <v>153</v>
      </c>
      <c r="B36" s="25">
        <v>5.899</v>
      </c>
      <c r="C36" s="25">
        <v>4.6479999999999997</v>
      </c>
      <c r="D36" s="25">
        <v>4.0359999999999996</v>
      </c>
      <c r="E36" s="25">
        <v>2.649</v>
      </c>
      <c r="F36" s="25">
        <v>2.7589999999999999</v>
      </c>
      <c r="G36" s="25">
        <v>0.754</v>
      </c>
      <c r="H36" s="25">
        <v>0</v>
      </c>
      <c r="I36" s="25">
        <v>1.272</v>
      </c>
      <c r="J36" s="25">
        <v>1.54</v>
      </c>
      <c r="K36" s="25">
        <v>2.5179999999999998</v>
      </c>
      <c r="L36" s="25">
        <v>3.4740000000000002</v>
      </c>
      <c r="M36" s="25">
        <v>3.4239999999999999</v>
      </c>
      <c r="N36" s="25">
        <v>2.056</v>
      </c>
      <c r="O36" s="25">
        <v>0.29399999999999998</v>
      </c>
      <c r="P36" s="25">
        <v>1.6060000000000001</v>
      </c>
      <c r="Q36" s="25">
        <v>2.4</v>
      </c>
      <c r="R36" s="25">
        <v>3.258</v>
      </c>
      <c r="S36" s="25">
        <v>4.484</v>
      </c>
      <c r="T36" s="25">
        <v>4.7469999999999999</v>
      </c>
      <c r="U36" s="25">
        <v>7.0720000000000001</v>
      </c>
      <c r="V36" s="25">
        <v>6.2350000000000003</v>
      </c>
      <c r="W36" s="25">
        <v>5.508</v>
      </c>
      <c r="X36" s="25">
        <v>9.5280000000000005</v>
      </c>
      <c r="Y36" s="25">
        <v>10.69</v>
      </c>
      <c r="Z36" s="25">
        <v>12.166</v>
      </c>
      <c r="AA36" s="25">
        <v>16.86</v>
      </c>
      <c r="AB36" s="25">
        <v>18.594999999999999</v>
      </c>
      <c r="AC36" s="25">
        <v>25.478000000000002</v>
      </c>
      <c r="AD36" s="25">
        <v>9.282</v>
      </c>
      <c r="AE36" s="25">
        <v>7.6559999999999997</v>
      </c>
      <c r="AF36" s="25">
        <v>5.8449999999999998</v>
      </c>
      <c r="AG36" s="25">
        <v>4.9379999999999997</v>
      </c>
      <c r="AH36" s="25">
        <v>4.6479999999999997</v>
      </c>
      <c r="AI36" s="25">
        <v>0.29399999999999998</v>
      </c>
      <c r="AJ36" s="25">
        <v>0</v>
      </c>
      <c r="AK36" s="25">
        <v>1.272</v>
      </c>
      <c r="AL36" s="25">
        <v>2.4</v>
      </c>
      <c r="AM36" s="25">
        <v>4.6760000000000002</v>
      </c>
      <c r="AN36" s="25">
        <v>12.052</v>
      </c>
      <c r="AO36" s="25">
        <v>0.29399999999999998</v>
      </c>
      <c r="AP36" s="25">
        <v>8.202</v>
      </c>
      <c r="AQ36" s="25">
        <v>5.13</v>
      </c>
      <c r="AR36" s="25">
        <v>0.29399999999999998</v>
      </c>
      <c r="AS36" s="25">
        <v>0.29399999999999998</v>
      </c>
      <c r="AT36" s="25">
        <v>0.29399999999999998</v>
      </c>
      <c r="AU36" s="25">
        <v>4.6289999999999996</v>
      </c>
      <c r="AV36" s="25">
        <v>0.29399999999999998</v>
      </c>
      <c r="AW36" s="25">
        <v>4.1859999999999999</v>
      </c>
      <c r="AX36" s="25">
        <v>6.2380000000000004</v>
      </c>
      <c r="AY36" s="25">
        <v>0.29399999999999998</v>
      </c>
      <c r="AZ36" s="25">
        <v>1.605</v>
      </c>
      <c r="BA36" s="25">
        <v>0.29399999999999998</v>
      </c>
      <c r="BB36" s="25">
        <v>1.728</v>
      </c>
      <c r="BC36" s="25">
        <v>0.29399999999999998</v>
      </c>
      <c r="BD36" s="25">
        <v>1.0289999999999999</v>
      </c>
      <c r="BE36" s="25">
        <v>0.29399999999999998</v>
      </c>
      <c r="BF36" s="25">
        <v>38.61</v>
      </c>
      <c r="BG36" s="25">
        <v>0.29399999999999998</v>
      </c>
      <c r="BH36" s="25">
        <v>0.29399999999999998</v>
      </c>
      <c r="BI36" s="25">
        <v>26.789000000000001</v>
      </c>
      <c r="BJ36" s="25">
        <v>0.29399999999999998</v>
      </c>
      <c r="BK36" s="25">
        <v>0.29399999999999998</v>
      </c>
      <c r="BL36" s="25">
        <v>0.29399999999999998</v>
      </c>
      <c r="BM36" s="25">
        <v>0.29399999999999998</v>
      </c>
      <c r="BN36" s="25">
        <v>0.29399999999999998</v>
      </c>
      <c r="BO36" s="25">
        <v>0.29399999999999998</v>
      </c>
      <c r="BP36" s="25">
        <v>7.0529999999999999</v>
      </c>
      <c r="BQ36" s="25">
        <v>3.01</v>
      </c>
      <c r="BR36" s="25">
        <v>0.29399999999999998</v>
      </c>
      <c r="BS36" s="25">
        <v>0.29399999999999998</v>
      </c>
      <c r="BT36" s="25">
        <v>0.29399999999999998</v>
      </c>
      <c r="BU36" s="25">
        <v>8.8510000000000009</v>
      </c>
      <c r="BV36" s="25">
        <v>0.29399999999999998</v>
      </c>
      <c r="BW36" s="25">
        <v>0.29399999999999998</v>
      </c>
      <c r="BX36" s="25">
        <v>4.1429999999999998</v>
      </c>
      <c r="BY36" s="25">
        <v>1.9550000000000001</v>
      </c>
      <c r="BZ36" s="25">
        <v>2.774</v>
      </c>
      <c r="CA36" s="25">
        <v>0.29399999999999998</v>
      </c>
      <c r="CB36" s="25">
        <v>0.29399999999999998</v>
      </c>
      <c r="CC36" s="25">
        <v>8.8460000000000001</v>
      </c>
      <c r="CD36" s="25">
        <v>10.69</v>
      </c>
      <c r="CE36" s="25">
        <v>0.29399999999999998</v>
      </c>
      <c r="CF36" s="25">
        <v>18.817</v>
      </c>
      <c r="CG36" s="25">
        <v>26.876999999999999</v>
      </c>
      <c r="CH36" s="25">
        <v>0.29399999999999998</v>
      </c>
      <c r="CI36" s="25">
        <v>0.29399999999999998</v>
      </c>
      <c r="CJ36" s="25">
        <v>0.29399999999999998</v>
      </c>
      <c r="CK36" s="25">
        <v>0.29399999999999998</v>
      </c>
      <c r="CL36" s="25">
        <v>0.29399999999999998</v>
      </c>
      <c r="CM36" s="25">
        <v>0.29399999999999998</v>
      </c>
      <c r="CN36" s="25">
        <v>0.29399999999999998</v>
      </c>
      <c r="CO36" s="25">
        <v>0.29399999999999998</v>
      </c>
      <c r="CP36" s="25">
        <v>0.29399999999999998</v>
      </c>
      <c r="CQ36" s="25">
        <v>0.29399999999999998</v>
      </c>
      <c r="CR36" s="25">
        <v>0.29399999999999998</v>
      </c>
      <c r="CS36" s="25">
        <v>45.488999999999997</v>
      </c>
      <c r="CT36" s="25">
        <v>0.29399999999999998</v>
      </c>
      <c r="CU36" s="25">
        <v>0.29399999999999998</v>
      </c>
      <c r="CV36" s="25">
        <v>3.323</v>
      </c>
      <c r="CW36" s="25">
        <v>0.29399999999999998</v>
      </c>
      <c r="CX36" s="25">
        <v>0.29399999999999998</v>
      </c>
      <c r="CY36" s="25">
        <v>0.29399999999999998</v>
      </c>
      <c r="CZ36" s="25">
        <v>8.1319999999999997</v>
      </c>
      <c r="DA36" s="25">
        <v>2.3759999999999999</v>
      </c>
      <c r="DB36" s="25">
        <v>14.294</v>
      </c>
      <c r="DC36" s="25">
        <v>13.627000000000001</v>
      </c>
      <c r="DD36" s="25">
        <v>4.056</v>
      </c>
      <c r="DE36" s="25">
        <v>16.356999999999999</v>
      </c>
      <c r="DF36" s="25">
        <v>0.29399999999999998</v>
      </c>
      <c r="DG36" s="25">
        <v>7.6849999999999996</v>
      </c>
      <c r="DH36" s="25">
        <v>36.530999999999999</v>
      </c>
      <c r="DI36" s="25">
        <v>0.29399999999999998</v>
      </c>
      <c r="DJ36" s="25">
        <v>0.29399999999999998</v>
      </c>
      <c r="DK36" s="25">
        <v>2.7160000000000002</v>
      </c>
      <c r="DL36" s="25">
        <v>0.29399999999999998</v>
      </c>
      <c r="DM36" s="25">
        <v>16.356999999999999</v>
      </c>
      <c r="DN36" s="25">
        <v>0.29399999999999998</v>
      </c>
      <c r="DO36" s="25">
        <v>0.29399999999999998</v>
      </c>
      <c r="DP36" s="25">
        <v>0.29399999999999998</v>
      </c>
      <c r="DQ36" s="25">
        <v>0.29399999999999998</v>
      </c>
      <c r="DR36" s="25">
        <v>0.29399999999999998</v>
      </c>
      <c r="DS36" s="25">
        <v>0.29399999999999998</v>
      </c>
      <c r="DT36" s="25">
        <v>0.29399999999999998</v>
      </c>
      <c r="DU36" s="25">
        <v>5.7789999999999999</v>
      </c>
      <c r="DV36" s="25">
        <v>0.29399999999999998</v>
      </c>
      <c r="DW36" s="25">
        <v>8.0519999999999996</v>
      </c>
      <c r="DX36" s="25">
        <v>15.026</v>
      </c>
      <c r="DY36" s="25">
        <v>0.29399999999999998</v>
      </c>
      <c r="DZ36" s="25">
        <v>15.291</v>
      </c>
      <c r="EA36" s="25">
        <v>0.29399999999999998</v>
      </c>
      <c r="EB36" s="25">
        <v>7.6559999999999997</v>
      </c>
      <c r="EC36" s="25">
        <v>0.29399999999999998</v>
      </c>
      <c r="ED36" s="25">
        <v>0.29399999999999998</v>
      </c>
      <c r="EE36" s="25">
        <v>0.29399999999999998</v>
      </c>
      <c r="EF36" s="25">
        <v>0.29399999999999998</v>
      </c>
      <c r="EG36" s="25">
        <v>6.9130000000000003</v>
      </c>
      <c r="EH36" s="25">
        <v>6.9009999999999998</v>
      </c>
      <c r="EI36" s="25">
        <v>0.29399999999999998</v>
      </c>
      <c r="EJ36" s="25">
        <v>2.4</v>
      </c>
      <c r="EK36" s="25">
        <v>0.29399999999999998</v>
      </c>
      <c r="EL36" s="25">
        <v>0.29399999999999998</v>
      </c>
      <c r="EM36" s="25">
        <v>5.452</v>
      </c>
      <c r="EN36" s="25">
        <v>0.29399999999999998</v>
      </c>
      <c r="EO36" s="25">
        <v>5.5709999999999997</v>
      </c>
      <c r="EP36" s="25">
        <v>0.29399999999999998</v>
      </c>
      <c r="EQ36" s="25">
        <v>0.29399999999999998</v>
      </c>
      <c r="ER36" s="25">
        <v>44.645000000000003</v>
      </c>
      <c r="ES36" s="25">
        <v>10.071</v>
      </c>
      <c r="ET36" s="25">
        <v>0.29399999999999998</v>
      </c>
      <c r="EU36" s="25">
        <v>0.29399999999999998</v>
      </c>
      <c r="EV36" s="25">
        <v>0.29399999999999998</v>
      </c>
      <c r="EW36" s="25"/>
    </row>
    <row r="37" spans="1:153" ht="17.25" customHeight="1" x14ac:dyDescent="0.25">
      <c r="A37" s="25" t="s">
        <v>154</v>
      </c>
      <c r="B37" s="25">
        <v>7.1719999999999997</v>
      </c>
      <c r="C37" s="25">
        <v>5.9210000000000003</v>
      </c>
      <c r="D37" s="25">
        <v>5.3090000000000002</v>
      </c>
      <c r="E37" s="25">
        <v>3.9220000000000002</v>
      </c>
      <c r="F37" s="25">
        <v>4.032</v>
      </c>
      <c r="G37" s="25">
        <v>2.0259999999999998</v>
      </c>
      <c r="H37" s="25">
        <v>1.2729999999999999</v>
      </c>
      <c r="I37" s="25">
        <v>0</v>
      </c>
      <c r="J37" s="25">
        <v>0.51100000000000001</v>
      </c>
      <c r="K37" s="25">
        <v>1.286</v>
      </c>
      <c r="L37" s="25">
        <v>2.242</v>
      </c>
      <c r="M37" s="25">
        <v>4.38</v>
      </c>
      <c r="N37" s="25">
        <v>3.012</v>
      </c>
      <c r="O37" s="25">
        <v>1.5669999999999999</v>
      </c>
      <c r="P37" s="25">
        <v>2.7810000000000001</v>
      </c>
      <c r="Q37" s="25">
        <v>3.2229999999999999</v>
      </c>
      <c r="R37" s="25">
        <v>3.4870000000000001</v>
      </c>
      <c r="S37" s="25">
        <v>4.0339999999999998</v>
      </c>
      <c r="T37" s="25">
        <v>4.2969999999999997</v>
      </c>
      <c r="U37" s="25">
        <v>6.2839999999999998</v>
      </c>
      <c r="V37" s="25">
        <v>5.4470000000000001</v>
      </c>
      <c r="W37" s="25">
        <v>4.72</v>
      </c>
      <c r="X37" s="25">
        <v>8.2959999999999994</v>
      </c>
      <c r="Y37" s="25">
        <v>11.696999999999999</v>
      </c>
      <c r="Z37" s="25">
        <v>13.173</v>
      </c>
      <c r="AA37" s="25">
        <v>16.41</v>
      </c>
      <c r="AB37" s="25">
        <v>18.145</v>
      </c>
      <c r="AC37" s="25">
        <v>25.027999999999999</v>
      </c>
      <c r="AD37" s="25">
        <v>8.0500000000000007</v>
      </c>
      <c r="AE37" s="25">
        <v>8.9290000000000003</v>
      </c>
      <c r="AF37" s="25">
        <v>4.6130000000000004</v>
      </c>
      <c r="AG37" s="25">
        <v>3.706</v>
      </c>
      <c r="AH37" s="25">
        <v>5.9210000000000003</v>
      </c>
      <c r="AI37" s="25">
        <v>1.5669999999999999</v>
      </c>
      <c r="AJ37" s="25">
        <v>1.2729999999999999</v>
      </c>
      <c r="AK37" s="25">
        <v>0</v>
      </c>
      <c r="AL37" s="25">
        <v>3.2229999999999999</v>
      </c>
      <c r="AM37" s="25">
        <v>3.444</v>
      </c>
      <c r="AN37" s="25">
        <v>11.493</v>
      </c>
      <c r="AO37" s="25">
        <v>1.5669999999999999</v>
      </c>
      <c r="AP37" s="25">
        <v>9.2089999999999996</v>
      </c>
      <c r="AQ37" s="25">
        <v>6.4029999999999996</v>
      </c>
      <c r="AR37" s="25">
        <v>1.5669999999999999</v>
      </c>
      <c r="AS37" s="25">
        <v>1.5669999999999999</v>
      </c>
      <c r="AT37" s="25">
        <v>1.5669999999999999</v>
      </c>
      <c r="AU37" s="25">
        <v>5.6360000000000001</v>
      </c>
      <c r="AV37" s="25">
        <v>1.5669999999999999</v>
      </c>
      <c r="AW37" s="25">
        <v>5.2629999999999999</v>
      </c>
      <c r="AX37" s="25">
        <v>7.194</v>
      </c>
      <c r="AY37" s="25">
        <v>1.5669999999999999</v>
      </c>
      <c r="AZ37" s="25">
        <v>2.5609999999999999</v>
      </c>
      <c r="BA37" s="25">
        <v>1.5669999999999999</v>
      </c>
      <c r="BB37" s="25">
        <v>3</v>
      </c>
      <c r="BC37" s="25">
        <v>1.5669999999999999</v>
      </c>
      <c r="BD37" s="25">
        <v>1.9850000000000001</v>
      </c>
      <c r="BE37" s="25">
        <v>1.5669999999999999</v>
      </c>
      <c r="BF37" s="25">
        <v>38.159999999999997</v>
      </c>
      <c r="BG37" s="25">
        <v>1.5669999999999999</v>
      </c>
      <c r="BH37" s="25">
        <v>1.5669999999999999</v>
      </c>
      <c r="BI37" s="25">
        <v>26.338999999999999</v>
      </c>
      <c r="BJ37" s="25">
        <v>1.5669999999999999</v>
      </c>
      <c r="BK37" s="25">
        <v>1.5669999999999999</v>
      </c>
      <c r="BL37" s="25">
        <v>1.5669999999999999</v>
      </c>
      <c r="BM37" s="25">
        <v>1.5669999999999999</v>
      </c>
      <c r="BN37" s="25">
        <v>1.5669999999999999</v>
      </c>
      <c r="BO37" s="25">
        <v>1.5669999999999999</v>
      </c>
      <c r="BP37" s="25">
        <v>6.2649999999999997</v>
      </c>
      <c r="BQ37" s="25">
        <v>4.2830000000000004</v>
      </c>
      <c r="BR37" s="25">
        <v>1.5669999999999999</v>
      </c>
      <c r="BS37" s="25">
        <v>1.5669999999999999</v>
      </c>
      <c r="BT37" s="25">
        <v>1.5669999999999999</v>
      </c>
      <c r="BU37" s="25">
        <v>8.4700000000000006</v>
      </c>
      <c r="BV37" s="25">
        <v>1.5669999999999999</v>
      </c>
      <c r="BW37" s="25">
        <v>1.5669999999999999</v>
      </c>
      <c r="BX37" s="25">
        <v>2.871</v>
      </c>
      <c r="BY37" s="25">
        <v>3.2280000000000002</v>
      </c>
      <c r="BZ37" s="25">
        <v>4.0469999999999997</v>
      </c>
      <c r="CA37" s="25">
        <v>1.5669999999999999</v>
      </c>
      <c r="CB37" s="25">
        <v>1.5669999999999999</v>
      </c>
      <c r="CC37" s="25">
        <v>9.8529999999999998</v>
      </c>
      <c r="CD37" s="25">
        <v>11.696999999999999</v>
      </c>
      <c r="CE37" s="25">
        <v>1.5669999999999999</v>
      </c>
      <c r="CF37" s="25">
        <v>18.367000000000001</v>
      </c>
      <c r="CG37" s="25">
        <v>26.427</v>
      </c>
      <c r="CH37" s="25">
        <v>1.5669999999999999</v>
      </c>
      <c r="CI37" s="25">
        <v>1.5669999999999999</v>
      </c>
      <c r="CJ37" s="25">
        <v>1.5669999999999999</v>
      </c>
      <c r="CK37" s="25">
        <v>1.5669999999999999</v>
      </c>
      <c r="CL37" s="25">
        <v>1.5669999999999999</v>
      </c>
      <c r="CM37" s="25">
        <v>1.5669999999999999</v>
      </c>
      <c r="CN37" s="25">
        <v>1.5669999999999999</v>
      </c>
      <c r="CO37" s="25">
        <v>1.5669999999999999</v>
      </c>
      <c r="CP37" s="25">
        <v>1.5669999999999999</v>
      </c>
      <c r="CQ37" s="25">
        <v>1.5669999999999999</v>
      </c>
      <c r="CR37" s="25">
        <v>1.5669999999999999</v>
      </c>
      <c r="CS37" s="25">
        <v>45.039000000000001</v>
      </c>
      <c r="CT37" s="25">
        <v>1.5669999999999999</v>
      </c>
      <c r="CU37" s="25">
        <v>1.5669999999999999</v>
      </c>
      <c r="CV37" s="25">
        <v>1.8129999999999999</v>
      </c>
      <c r="CW37" s="25">
        <v>1.5669999999999999</v>
      </c>
      <c r="CX37" s="25">
        <v>1.5669999999999999</v>
      </c>
      <c r="CY37" s="25">
        <v>1.5669999999999999</v>
      </c>
      <c r="CZ37" s="25">
        <v>7.7510000000000003</v>
      </c>
      <c r="DA37" s="25">
        <v>3.4529999999999998</v>
      </c>
      <c r="DB37" s="25">
        <v>15.301</v>
      </c>
      <c r="DC37" s="25">
        <v>14.634</v>
      </c>
      <c r="DD37" s="25">
        <v>5.3289999999999997</v>
      </c>
      <c r="DE37" s="25">
        <v>15.125</v>
      </c>
      <c r="DF37" s="25">
        <v>1.5669999999999999</v>
      </c>
      <c r="DG37" s="25">
        <v>10.544</v>
      </c>
      <c r="DH37" s="25">
        <v>36.081000000000003</v>
      </c>
      <c r="DI37" s="25">
        <v>1.5669999999999999</v>
      </c>
      <c r="DJ37" s="25">
        <v>1.5669999999999999</v>
      </c>
      <c r="DK37" s="25">
        <v>2.63</v>
      </c>
      <c r="DL37" s="25">
        <v>1.5669999999999999</v>
      </c>
      <c r="DM37" s="25">
        <v>15.125</v>
      </c>
      <c r="DN37" s="25">
        <v>1.5669999999999999</v>
      </c>
      <c r="DO37" s="25">
        <v>1.5669999999999999</v>
      </c>
      <c r="DP37" s="25">
        <v>1.5669999999999999</v>
      </c>
      <c r="DQ37" s="25">
        <v>1.5669999999999999</v>
      </c>
      <c r="DR37" s="25">
        <v>1.5669999999999999</v>
      </c>
      <c r="DS37" s="25">
        <v>1.5669999999999999</v>
      </c>
      <c r="DT37" s="25">
        <v>1.5669999999999999</v>
      </c>
      <c r="DU37" s="25">
        <v>6.8559999999999999</v>
      </c>
      <c r="DV37" s="25">
        <v>1.5669999999999999</v>
      </c>
      <c r="DW37" s="25">
        <v>6.82</v>
      </c>
      <c r="DX37" s="25">
        <v>12.441000000000001</v>
      </c>
      <c r="DY37" s="25">
        <v>1.5669999999999999</v>
      </c>
      <c r="DZ37" s="25">
        <v>12.706</v>
      </c>
      <c r="EA37" s="25">
        <v>1.5669999999999999</v>
      </c>
      <c r="EB37" s="25">
        <v>10.515000000000001</v>
      </c>
      <c r="EC37" s="25">
        <v>1.5669999999999999</v>
      </c>
      <c r="ED37" s="25">
        <v>1.5669999999999999</v>
      </c>
      <c r="EE37" s="25">
        <v>1.5669999999999999</v>
      </c>
      <c r="EF37" s="25">
        <v>1.5669999999999999</v>
      </c>
      <c r="EG37" s="25">
        <v>7.99</v>
      </c>
      <c r="EH37" s="25">
        <v>5.6689999999999996</v>
      </c>
      <c r="EI37" s="25">
        <v>1.5669999999999999</v>
      </c>
      <c r="EJ37" s="25">
        <v>3.2229999999999999</v>
      </c>
      <c r="EK37" s="25">
        <v>1.5669999999999999</v>
      </c>
      <c r="EL37" s="25">
        <v>1.5669999999999999</v>
      </c>
      <c r="EM37" s="25">
        <v>4.0860000000000003</v>
      </c>
      <c r="EN37" s="25">
        <v>1.5669999999999999</v>
      </c>
      <c r="EO37" s="25">
        <v>4.9320000000000004</v>
      </c>
      <c r="EP37" s="25">
        <v>1.5669999999999999</v>
      </c>
      <c r="EQ37" s="25">
        <v>1.5669999999999999</v>
      </c>
      <c r="ER37" s="25">
        <v>44.195</v>
      </c>
      <c r="ES37" s="25">
        <v>8.8390000000000004</v>
      </c>
      <c r="ET37" s="25">
        <v>1.5669999999999999</v>
      </c>
      <c r="EU37" s="25">
        <v>1.5669999999999999</v>
      </c>
      <c r="EV37" s="25">
        <v>1.5669999999999999</v>
      </c>
      <c r="EW37" s="25"/>
    </row>
    <row r="38" spans="1:153" ht="17.25" customHeight="1" x14ac:dyDescent="0.25">
      <c r="A38" s="25" t="s">
        <v>155</v>
      </c>
      <c r="B38" s="25">
        <v>6.8360000000000003</v>
      </c>
      <c r="C38" s="25">
        <v>5.4930000000000003</v>
      </c>
      <c r="D38" s="25">
        <v>4.8550000000000004</v>
      </c>
      <c r="E38" s="25">
        <v>3.4940000000000002</v>
      </c>
      <c r="F38" s="25">
        <v>2.8079999999999998</v>
      </c>
      <c r="G38" s="25">
        <v>1.6240000000000001</v>
      </c>
      <c r="H38" s="25">
        <v>2.1150000000000002</v>
      </c>
      <c r="I38" s="25">
        <v>3.226</v>
      </c>
      <c r="J38" s="25">
        <v>3.4369999999999998</v>
      </c>
      <c r="K38" s="25">
        <v>3.7709999999999999</v>
      </c>
      <c r="L38" s="25">
        <v>4.8090000000000002</v>
      </c>
      <c r="M38" s="25">
        <v>5.21</v>
      </c>
      <c r="N38" s="25">
        <v>3.8159999999999998</v>
      </c>
      <c r="O38" s="25">
        <v>1.82</v>
      </c>
      <c r="P38" s="25">
        <v>0.78200000000000003</v>
      </c>
      <c r="Q38" s="25">
        <v>0</v>
      </c>
      <c r="R38" s="25">
        <v>1.645</v>
      </c>
      <c r="S38" s="25">
        <v>2.7240000000000002</v>
      </c>
      <c r="T38" s="25">
        <v>2.9870000000000001</v>
      </c>
      <c r="U38" s="25">
        <v>5.3120000000000003</v>
      </c>
      <c r="V38" s="25">
        <v>4.4749999999999996</v>
      </c>
      <c r="W38" s="25">
        <v>3.7480000000000002</v>
      </c>
      <c r="X38" s="25">
        <v>12.179</v>
      </c>
      <c r="Y38" s="25">
        <v>13.933</v>
      </c>
      <c r="Z38" s="25">
        <v>15.407999999999999</v>
      </c>
      <c r="AA38" s="25">
        <v>15.1</v>
      </c>
      <c r="AB38" s="25">
        <v>16.835000000000001</v>
      </c>
      <c r="AC38" s="25">
        <v>23.718</v>
      </c>
      <c r="AD38" s="25">
        <v>11.933</v>
      </c>
      <c r="AE38" s="25">
        <v>9.5790000000000006</v>
      </c>
      <c r="AF38" s="25">
        <v>8.5129999999999999</v>
      </c>
      <c r="AG38" s="25">
        <v>8.8019999999999996</v>
      </c>
      <c r="AH38" s="25">
        <v>5.4930000000000003</v>
      </c>
      <c r="AI38" s="25">
        <v>1.82</v>
      </c>
      <c r="AJ38" s="25">
        <v>2.1150000000000002</v>
      </c>
      <c r="AK38" s="25">
        <v>3.226</v>
      </c>
      <c r="AL38" s="25">
        <v>0</v>
      </c>
      <c r="AM38" s="25">
        <v>8.6050000000000004</v>
      </c>
      <c r="AN38" s="25">
        <v>10.292</v>
      </c>
      <c r="AO38" s="25">
        <v>1.82</v>
      </c>
      <c r="AP38" s="25">
        <v>12.319000000000001</v>
      </c>
      <c r="AQ38" s="25">
        <v>4.806</v>
      </c>
      <c r="AR38" s="25">
        <v>1.82</v>
      </c>
      <c r="AS38" s="25">
        <v>1.82</v>
      </c>
      <c r="AT38" s="25">
        <v>1.82</v>
      </c>
      <c r="AU38" s="25">
        <v>5.8440000000000003</v>
      </c>
      <c r="AV38" s="25">
        <v>1.82</v>
      </c>
      <c r="AW38" s="25">
        <v>2.7919999999999998</v>
      </c>
      <c r="AX38" s="25">
        <v>7.99</v>
      </c>
      <c r="AY38" s="25">
        <v>1.82</v>
      </c>
      <c r="AZ38" s="25">
        <v>3.72</v>
      </c>
      <c r="BA38" s="25">
        <v>1.82</v>
      </c>
      <c r="BB38" s="25">
        <v>0.88500000000000001</v>
      </c>
      <c r="BC38" s="25">
        <v>1.82</v>
      </c>
      <c r="BD38" s="25">
        <v>3.1440000000000001</v>
      </c>
      <c r="BE38" s="25">
        <v>1.82</v>
      </c>
      <c r="BF38" s="25">
        <v>36.85</v>
      </c>
      <c r="BG38" s="25">
        <v>1.82</v>
      </c>
      <c r="BH38" s="25">
        <v>1.82</v>
      </c>
      <c r="BI38" s="25">
        <v>25.029</v>
      </c>
      <c r="BJ38" s="25">
        <v>1.82</v>
      </c>
      <c r="BK38" s="25">
        <v>1.82</v>
      </c>
      <c r="BL38" s="25">
        <v>1.82</v>
      </c>
      <c r="BM38" s="25">
        <v>1.82</v>
      </c>
      <c r="BN38" s="25">
        <v>1.82</v>
      </c>
      <c r="BO38" s="25">
        <v>1.82</v>
      </c>
      <c r="BP38" s="25">
        <v>5.2930000000000001</v>
      </c>
      <c r="BQ38" s="25">
        <v>2.7010000000000001</v>
      </c>
      <c r="BR38" s="25">
        <v>1.82</v>
      </c>
      <c r="BS38" s="25">
        <v>1.82</v>
      </c>
      <c r="BT38" s="25">
        <v>1.82</v>
      </c>
      <c r="BU38" s="25">
        <v>6.6740000000000004</v>
      </c>
      <c r="BV38" s="25">
        <v>1.82</v>
      </c>
      <c r="BW38" s="25">
        <v>1.82</v>
      </c>
      <c r="BX38" s="25">
        <v>4.4059999999999997</v>
      </c>
      <c r="BY38" s="25">
        <v>2.8260000000000001</v>
      </c>
      <c r="BZ38" s="25">
        <v>2.7389999999999999</v>
      </c>
      <c r="CA38" s="25">
        <v>1.82</v>
      </c>
      <c r="CB38" s="25">
        <v>1.82</v>
      </c>
      <c r="CC38" s="25">
        <v>13.028</v>
      </c>
      <c r="CD38" s="25">
        <v>13.933</v>
      </c>
      <c r="CE38" s="25">
        <v>1.82</v>
      </c>
      <c r="CF38" s="25">
        <v>17.056999999999999</v>
      </c>
      <c r="CG38" s="25">
        <v>25.117000000000001</v>
      </c>
      <c r="CH38" s="25">
        <v>1.82</v>
      </c>
      <c r="CI38" s="25">
        <v>1.82</v>
      </c>
      <c r="CJ38" s="25">
        <v>1.82</v>
      </c>
      <c r="CK38" s="25">
        <v>1.82</v>
      </c>
      <c r="CL38" s="25">
        <v>1.82</v>
      </c>
      <c r="CM38" s="25">
        <v>1.82</v>
      </c>
      <c r="CN38" s="25">
        <v>1.82</v>
      </c>
      <c r="CO38" s="25">
        <v>1.82</v>
      </c>
      <c r="CP38" s="25">
        <v>1.82</v>
      </c>
      <c r="CQ38" s="25">
        <v>1.82</v>
      </c>
      <c r="CR38" s="25">
        <v>1.82</v>
      </c>
      <c r="CS38" s="25">
        <v>43.728999999999999</v>
      </c>
      <c r="CT38" s="25">
        <v>1.82</v>
      </c>
      <c r="CU38" s="25">
        <v>1.82</v>
      </c>
      <c r="CV38" s="25">
        <v>2.4889999999999999</v>
      </c>
      <c r="CW38" s="25">
        <v>1.82</v>
      </c>
      <c r="CX38" s="25">
        <v>1.82</v>
      </c>
      <c r="CY38" s="25">
        <v>1.82</v>
      </c>
      <c r="CZ38" s="25">
        <v>5.9550000000000001</v>
      </c>
      <c r="DA38" s="25">
        <v>0.98199999999999998</v>
      </c>
      <c r="DB38" s="25">
        <v>17.536000000000001</v>
      </c>
      <c r="DC38" s="25">
        <v>16.869</v>
      </c>
      <c r="DD38" s="25">
        <v>4.9009999999999998</v>
      </c>
      <c r="DE38" s="25">
        <v>18.832999999999998</v>
      </c>
      <c r="DF38" s="25">
        <v>1.82</v>
      </c>
      <c r="DG38" s="25">
        <v>6.2910000000000004</v>
      </c>
      <c r="DH38" s="25">
        <v>34.771000000000001</v>
      </c>
      <c r="DI38" s="25">
        <v>1.82</v>
      </c>
      <c r="DJ38" s="25">
        <v>1.82</v>
      </c>
      <c r="DK38" s="25">
        <v>1.1930000000000001</v>
      </c>
      <c r="DL38" s="25">
        <v>1.82</v>
      </c>
      <c r="DM38" s="25">
        <v>18.832999999999998</v>
      </c>
      <c r="DN38" s="25">
        <v>1.82</v>
      </c>
      <c r="DO38" s="25">
        <v>1.82</v>
      </c>
      <c r="DP38" s="25">
        <v>1.82</v>
      </c>
      <c r="DQ38" s="25">
        <v>1.82</v>
      </c>
      <c r="DR38" s="25">
        <v>1.82</v>
      </c>
      <c r="DS38" s="25">
        <v>1.82</v>
      </c>
      <c r="DT38" s="25">
        <v>1.82</v>
      </c>
      <c r="DU38" s="25">
        <v>4.3849999999999998</v>
      </c>
      <c r="DV38" s="25">
        <v>1.82</v>
      </c>
      <c r="DW38" s="25">
        <v>10.702999999999999</v>
      </c>
      <c r="DX38" s="25">
        <v>13.266</v>
      </c>
      <c r="DY38" s="25">
        <v>1.82</v>
      </c>
      <c r="DZ38" s="25">
        <v>13.531000000000001</v>
      </c>
      <c r="EA38" s="25">
        <v>1.82</v>
      </c>
      <c r="EB38" s="25">
        <v>6.2619999999999996</v>
      </c>
      <c r="EC38" s="25">
        <v>1.82</v>
      </c>
      <c r="ED38" s="25">
        <v>1.82</v>
      </c>
      <c r="EE38" s="25">
        <v>1.82</v>
      </c>
      <c r="EF38" s="25">
        <v>1.82</v>
      </c>
      <c r="EG38" s="25">
        <v>5.5190000000000001</v>
      </c>
      <c r="EH38" s="25">
        <v>8.3490000000000002</v>
      </c>
      <c r="EI38" s="25">
        <v>1.82</v>
      </c>
      <c r="EJ38" s="25">
        <v>0</v>
      </c>
      <c r="EK38" s="25">
        <v>1.82</v>
      </c>
      <c r="EL38" s="25">
        <v>1.82</v>
      </c>
      <c r="EM38" s="25">
        <v>3.6920000000000002</v>
      </c>
      <c r="EN38" s="25">
        <v>1.82</v>
      </c>
      <c r="EO38" s="25">
        <v>3.3940000000000001</v>
      </c>
      <c r="EP38" s="25">
        <v>1.82</v>
      </c>
      <c r="EQ38" s="25">
        <v>1.82</v>
      </c>
      <c r="ER38" s="25">
        <v>42.884999999999998</v>
      </c>
      <c r="ES38" s="25">
        <v>12.722</v>
      </c>
      <c r="ET38" s="25">
        <v>1.82</v>
      </c>
      <c r="EU38" s="25">
        <v>1.82</v>
      </c>
      <c r="EV38" s="25">
        <v>1.82</v>
      </c>
      <c r="EW38" s="25"/>
    </row>
    <row r="39" spans="1:153" ht="17.25" customHeight="1" x14ac:dyDescent="0.25">
      <c r="A39" s="25" t="s">
        <v>156</v>
      </c>
      <c r="B39" s="25">
        <v>15.706</v>
      </c>
      <c r="C39" s="25">
        <v>9.3439999999999994</v>
      </c>
      <c r="D39" s="25">
        <v>8.7319999999999993</v>
      </c>
      <c r="E39" s="25">
        <v>7.3449999999999998</v>
      </c>
      <c r="F39" s="25">
        <v>7.4550000000000001</v>
      </c>
      <c r="G39" s="25">
        <v>5.4489999999999998</v>
      </c>
      <c r="H39" s="25">
        <v>4.6959999999999997</v>
      </c>
      <c r="I39" s="25">
        <v>3.4630000000000001</v>
      </c>
      <c r="J39" s="25">
        <v>3.2669999999999999</v>
      </c>
      <c r="K39" s="25">
        <v>2.468</v>
      </c>
      <c r="L39" s="25">
        <v>1.7030000000000001</v>
      </c>
      <c r="M39" s="25">
        <v>7.8029999999999999</v>
      </c>
      <c r="N39" s="25">
        <v>6.4349999999999996</v>
      </c>
      <c r="O39" s="25">
        <v>4.99</v>
      </c>
      <c r="P39" s="25">
        <v>5.5289999999999999</v>
      </c>
      <c r="Q39" s="25">
        <v>5.9710000000000001</v>
      </c>
      <c r="R39" s="25">
        <v>7.6959999999999997</v>
      </c>
      <c r="S39" s="25">
        <v>6.9429999999999996</v>
      </c>
      <c r="T39" s="25">
        <v>7.2060000000000004</v>
      </c>
      <c r="U39" s="25">
        <v>6.1269999999999998</v>
      </c>
      <c r="V39" s="25">
        <v>8.3629999999999995</v>
      </c>
      <c r="W39" s="25">
        <v>7.6360000000000001</v>
      </c>
      <c r="X39" s="25">
        <v>4.9279999999999999</v>
      </c>
      <c r="Y39" s="25">
        <v>18.149000000000001</v>
      </c>
      <c r="Z39" s="25">
        <v>19.623999999999999</v>
      </c>
      <c r="AA39" s="25">
        <v>19.315000000000001</v>
      </c>
      <c r="AB39" s="25">
        <v>21.05</v>
      </c>
      <c r="AC39" s="25">
        <v>27.933</v>
      </c>
      <c r="AD39" s="25">
        <v>4.6820000000000004</v>
      </c>
      <c r="AE39" s="25">
        <v>15.678000000000001</v>
      </c>
      <c r="AF39" s="25">
        <v>1.1259999999999999</v>
      </c>
      <c r="AG39" s="25">
        <v>0.35099999999999998</v>
      </c>
      <c r="AH39" s="25">
        <v>9.3439999999999994</v>
      </c>
      <c r="AI39" s="25">
        <v>4.99</v>
      </c>
      <c r="AJ39" s="25">
        <v>4.6959999999999997</v>
      </c>
      <c r="AK39" s="25">
        <v>3.4630000000000001</v>
      </c>
      <c r="AL39" s="25">
        <v>5.9710000000000001</v>
      </c>
      <c r="AM39" s="25">
        <v>0</v>
      </c>
      <c r="AN39" s="25">
        <v>10.130000000000001</v>
      </c>
      <c r="AO39" s="25">
        <v>4.99</v>
      </c>
      <c r="AP39" s="25">
        <v>16.535</v>
      </c>
      <c r="AQ39" s="25">
        <v>16.225000000000001</v>
      </c>
      <c r="AR39" s="25">
        <v>4.99</v>
      </c>
      <c r="AS39" s="25">
        <v>4.99</v>
      </c>
      <c r="AT39" s="25">
        <v>4.99</v>
      </c>
      <c r="AU39" s="25">
        <v>9.0719999999999992</v>
      </c>
      <c r="AV39" s="25">
        <v>4.99</v>
      </c>
      <c r="AW39" s="25">
        <v>9.5220000000000002</v>
      </c>
      <c r="AX39" s="25">
        <v>10.617000000000001</v>
      </c>
      <c r="AY39" s="25">
        <v>4.99</v>
      </c>
      <c r="AZ39" s="25">
        <v>5.984</v>
      </c>
      <c r="BA39" s="25">
        <v>4.99</v>
      </c>
      <c r="BB39" s="25">
        <v>5.5990000000000002</v>
      </c>
      <c r="BC39" s="25">
        <v>4.99</v>
      </c>
      <c r="BD39" s="25">
        <v>5.4080000000000004</v>
      </c>
      <c r="BE39" s="25">
        <v>4.99</v>
      </c>
      <c r="BF39" s="25">
        <v>41.064999999999998</v>
      </c>
      <c r="BG39" s="25">
        <v>4.99</v>
      </c>
      <c r="BH39" s="25">
        <v>4.99</v>
      </c>
      <c r="BI39" s="25">
        <v>29.245000000000001</v>
      </c>
      <c r="BJ39" s="25">
        <v>4.99</v>
      </c>
      <c r="BK39" s="25">
        <v>4.99</v>
      </c>
      <c r="BL39" s="25">
        <v>4.99</v>
      </c>
      <c r="BM39" s="25">
        <v>4.99</v>
      </c>
      <c r="BN39" s="25">
        <v>4.99</v>
      </c>
      <c r="BO39" s="25">
        <v>4.99</v>
      </c>
      <c r="BP39" s="25">
        <v>9.1809999999999992</v>
      </c>
      <c r="BQ39" s="25">
        <v>7.7060000000000004</v>
      </c>
      <c r="BR39" s="25">
        <v>4.99</v>
      </c>
      <c r="BS39" s="25">
        <v>4.99</v>
      </c>
      <c r="BT39" s="25">
        <v>4.99</v>
      </c>
      <c r="BU39" s="25">
        <v>11.31</v>
      </c>
      <c r="BV39" s="25">
        <v>4.99</v>
      </c>
      <c r="BW39" s="25">
        <v>4.99</v>
      </c>
      <c r="BX39" s="25">
        <v>2.3450000000000002</v>
      </c>
      <c r="BY39" s="25">
        <v>7.032</v>
      </c>
      <c r="BZ39" s="25">
        <v>7.47</v>
      </c>
      <c r="CA39" s="25">
        <v>4.99</v>
      </c>
      <c r="CB39" s="25">
        <v>4.99</v>
      </c>
      <c r="CC39" s="25">
        <v>17.244</v>
      </c>
      <c r="CD39" s="25">
        <v>18.149000000000001</v>
      </c>
      <c r="CE39" s="25">
        <v>4.99</v>
      </c>
      <c r="CF39" s="25">
        <v>21.271999999999998</v>
      </c>
      <c r="CG39" s="25">
        <v>29.332000000000001</v>
      </c>
      <c r="CH39" s="25">
        <v>4.99</v>
      </c>
      <c r="CI39" s="25">
        <v>4.99</v>
      </c>
      <c r="CJ39" s="25">
        <v>4.99</v>
      </c>
      <c r="CK39" s="25">
        <v>4.99</v>
      </c>
      <c r="CL39" s="25">
        <v>4.99</v>
      </c>
      <c r="CM39" s="25">
        <v>4.99</v>
      </c>
      <c r="CN39" s="25">
        <v>4.99</v>
      </c>
      <c r="CO39" s="25">
        <v>4.99</v>
      </c>
      <c r="CP39" s="25">
        <v>4.99</v>
      </c>
      <c r="CQ39" s="25">
        <v>4.99</v>
      </c>
      <c r="CR39" s="25">
        <v>4.99</v>
      </c>
      <c r="CS39" s="25">
        <v>47.945</v>
      </c>
      <c r="CT39" s="25">
        <v>4.99</v>
      </c>
      <c r="CU39" s="25">
        <v>4.99</v>
      </c>
      <c r="CV39" s="25">
        <v>3.4140000000000001</v>
      </c>
      <c r="CW39" s="25">
        <v>4.99</v>
      </c>
      <c r="CX39" s="25">
        <v>4.99</v>
      </c>
      <c r="CY39" s="25">
        <v>4.99</v>
      </c>
      <c r="CZ39" s="25">
        <v>10.590999999999999</v>
      </c>
      <c r="DA39" s="25">
        <v>6.2009999999999996</v>
      </c>
      <c r="DB39" s="25">
        <v>21.751999999999999</v>
      </c>
      <c r="DC39" s="25">
        <v>21.085000000000001</v>
      </c>
      <c r="DD39" s="25">
        <v>8.7520000000000007</v>
      </c>
      <c r="DE39" s="25">
        <v>11.451000000000001</v>
      </c>
      <c r="DF39" s="25">
        <v>4.99</v>
      </c>
      <c r="DG39" s="25">
        <v>13.45</v>
      </c>
      <c r="DH39" s="25">
        <v>38.985999999999997</v>
      </c>
      <c r="DI39" s="25">
        <v>4.99</v>
      </c>
      <c r="DJ39" s="25">
        <v>4.99</v>
      </c>
      <c r="DK39" s="25">
        <v>5.3789999999999996</v>
      </c>
      <c r="DL39" s="25">
        <v>4.99</v>
      </c>
      <c r="DM39" s="25">
        <v>11.451000000000001</v>
      </c>
      <c r="DN39" s="25">
        <v>4.99</v>
      </c>
      <c r="DO39" s="25">
        <v>4.99</v>
      </c>
      <c r="DP39" s="25">
        <v>4.99</v>
      </c>
      <c r="DQ39" s="25">
        <v>4.99</v>
      </c>
      <c r="DR39" s="25">
        <v>4.99</v>
      </c>
      <c r="DS39" s="25">
        <v>4.99</v>
      </c>
      <c r="DT39" s="25">
        <v>4.99</v>
      </c>
      <c r="DU39" s="25">
        <v>15.708</v>
      </c>
      <c r="DV39" s="25">
        <v>4.99</v>
      </c>
      <c r="DW39" s="25">
        <v>3.452</v>
      </c>
      <c r="DX39" s="25">
        <v>11.003</v>
      </c>
      <c r="DY39" s="25">
        <v>4.99</v>
      </c>
      <c r="DZ39" s="25">
        <v>11.268000000000001</v>
      </c>
      <c r="EA39" s="25">
        <v>4.99</v>
      </c>
      <c r="EB39" s="25">
        <v>13.420999999999999</v>
      </c>
      <c r="EC39" s="25">
        <v>4.99</v>
      </c>
      <c r="ED39" s="25">
        <v>4.99</v>
      </c>
      <c r="EE39" s="25">
        <v>4.99</v>
      </c>
      <c r="EF39" s="25">
        <v>4.99</v>
      </c>
      <c r="EG39" s="25">
        <v>14.263</v>
      </c>
      <c r="EH39" s="25">
        <v>4.7309999999999999</v>
      </c>
      <c r="EI39" s="25">
        <v>4.99</v>
      </c>
      <c r="EJ39" s="25">
        <v>5.9710000000000001</v>
      </c>
      <c r="EK39" s="25">
        <v>4.99</v>
      </c>
      <c r="EL39" s="25">
        <v>4.99</v>
      </c>
      <c r="EM39" s="25">
        <v>4.6120000000000001</v>
      </c>
      <c r="EN39" s="25">
        <v>4.99</v>
      </c>
      <c r="EO39" s="25">
        <v>8.0299999999999994</v>
      </c>
      <c r="EP39" s="25">
        <v>4.99</v>
      </c>
      <c r="EQ39" s="25">
        <v>4.99</v>
      </c>
      <c r="ER39" s="25">
        <v>47.1</v>
      </c>
      <c r="ES39" s="25">
        <v>5.4710000000000001</v>
      </c>
      <c r="ET39" s="25">
        <v>4.99</v>
      </c>
      <c r="EU39" s="25">
        <v>4.99</v>
      </c>
      <c r="EV39" s="25">
        <v>4.99</v>
      </c>
      <c r="EW39" s="25"/>
    </row>
    <row r="40" spans="1:153" ht="17.25" customHeight="1" x14ac:dyDescent="0.25">
      <c r="A40" s="25" t="s">
        <v>157</v>
      </c>
      <c r="B40" s="25">
        <v>14.541</v>
      </c>
      <c r="C40" s="25">
        <v>12.339</v>
      </c>
      <c r="D40" s="25">
        <v>11.738</v>
      </c>
      <c r="E40" s="25">
        <v>11.14</v>
      </c>
      <c r="F40" s="25">
        <v>10.455</v>
      </c>
      <c r="G40" s="25">
        <v>10.196</v>
      </c>
      <c r="H40" s="25">
        <v>10.888999999999999</v>
      </c>
      <c r="I40" s="25">
        <v>10.053000000000001</v>
      </c>
      <c r="J40" s="25">
        <v>13.965</v>
      </c>
      <c r="K40" s="25">
        <v>13.166</v>
      </c>
      <c r="L40" s="25">
        <v>12.401</v>
      </c>
      <c r="M40" s="25">
        <v>14.683999999999999</v>
      </c>
      <c r="N40" s="25">
        <v>12.505000000000001</v>
      </c>
      <c r="O40" s="25">
        <v>10.595000000000001</v>
      </c>
      <c r="P40" s="25">
        <v>9.3539999999999992</v>
      </c>
      <c r="Q40" s="25">
        <v>8.5719999999999992</v>
      </c>
      <c r="R40" s="25">
        <v>7.5359999999999996</v>
      </c>
      <c r="S40" s="25">
        <v>6.7830000000000004</v>
      </c>
      <c r="T40" s="25">
        <v>6.1509999999999998</v>
      </c>
      <c r="U40" s="25">
        <v>3.7519999999999998</v>
      </c>
      <c r="V40" s="25">
        <v>4.593</v>
      </c>
      <c r="W40" s="25">
        <v>5.32</v>
      </c>
      <c r="X40" s="25">
        <v>11.496</v>
      </c>
      <c r="Y40" s="25">
        <v>16.984000000000002</v>
      </c>
      <c r="Z40" s="25">
        <v>18.459</v>
      </c>
      <c r="AA40" s="25">
        <v>18.151</v>
      </c>
      <c r="AB40" s="25">
        <v>19.885999999999999</v>
      </c>
      <c r="AC40" s="25">
        <v>26.768999999999998</v>
      </c>
      <c r="AD40" s="25">
        <v>12.503</v>
      </c>
      <c r="AE40" s="25">
        <v>14.513</v>
      </c>
      <c r="AF40" s="25">
        <v>10.798999999999999</v>
      </c>
      <c r="AG40" s="25">
        <v>9.7929999999999993</v>
      </c>
      <c r="AH40" s="25">
        <v>12.339</v>
      </c>
      <c r="AI40" s="25">
        <v>10.595000000000001</v>
      </c>
      <c r="AJ40" s="25">
        <v>10.888999999999999</v>
      </c>
      <c r="AK40" s="25">
        <v>10.053000000000001</v>
      </c>
      <c r="AL40" s="25">
        <v>8.5719999999999992</v>
      </c>
      <c r="AM40" s="25">
        <v>10.8</v>
      </c>
      <c r="AN40" s="25">
        <v>0</v>
      </c>
      <c r="AO40" s="25">
        <v>10.595000000000001</v>
      </c>
      <c r="AP40" s="25">
        <v>15.37</v>
      </c>
      <c r="AQ40" s="25">
        <v>11.55</v>
      </c>
      <c r="AR40" s="25">
        <v>10.595000000000001</v>
      </c>
      <c r="AS40" s="25">
        <v>10.595000000000001</v>
      </c>
      <c r="AT40" s="25">
        <v>10.595000000000001</v>
      </c>
      <c r="AU40" s="25">
        <v>13.491</v>
      </c>
      <c r="AV40" s="25">
        <v>10.595000000000001</v>
      </c>
      <c r="AW40" s="25">
        <v>8.3469999999999995</v>
      </c>
      <c r="AX40" s="25">
        <v>17.463999999999999</v>
      </c>
      <c r="AY40" s="25">
        <v>10.595000000000001</v>
      </c>
      <c r="AZ40" s="25">
        <v>12.054</v>
      </c>
      <c r="BA40" s="25">
        <v>10.595000000000001</v>
      </c>
      <c r="BB40" s="25">
        <v>9.7669999999999995</v>
      </c>
      <c r="BC40" s="25">
        <v>10.595000000000001</v>
      </c>
      <c r="BD40" s="25">
        <v>11.478</v>
      </c>
      <c r="BE40" s="25">
        <v>10.595000000000001</v>
      </c>
      <c r="BF40" s="25">
        <v>39.901000000000003</v>
      </c>
      <c r="BG40" s="25">
        <v>10.595000000000001</v>
      </c>
      <c r="BH40" s="25">
        <v>10.595000000000001</v>
      </c>
      <c r="BI40" s="25">
        <v>24.238</v>
      </c>
      <c r="BJ40" s="25">
        <v>10.595000000000001</v>
      </c>
      <c r="BK40" s="25">
        <v>10.595000000000001</v>
      </c>
      <c r="BL40" s="25">
        <v>10.595000000000001</v>
      </c>
      <c r="BM40" s="25">
        <v>10.595000000000001</v>
      </c>
      <c r="BN40" s="25">
        <v>10.595000000000001</v>
      </c>
      <c r="BO40" s="25">
        <v>10.595000000000001</v>
      </c>
      <c r="BP40" s="25">
        <v>4.9189999999999996</v>
      </c>
      <c r="BQ40" s="25">
        <v>10.356999999999999</v>
      </c>
      <c r="BR40" s="25">
        <v>10.595000000000001</v>
      </c>
      <c r="BS40" s="25">
        <v>10.595000000000001</v>
      </c>
      <c r="BT40" s="25">
        <v>10.595000000000001</v>
      </c>
      <c r="BU40" s="25">
        <v>8.298</v>
      </c>
      <c r="BV40" s="25">
        <v>10.595000000000001</v>
      </c>
      <c r="BW40" s="25">
        <v>10.595000000000001</v>
      </c>
      <c r="BX40" s="25">
        <v>9.4610000000000003</v>
      </c>
      <c r="BY40" s="25">
        <v>10.766999999999999</v>
      </c>
      <c r="BZ40" s="25">
        <v>10.385999999999999</v>
      </c>
      <c r="CA40" s="25">
        <v>10.595000000000001</v>
      </c>
      <c r="CB40" s="25">
        <v>10.595000000000001</v>
      </c>
      <c r="CC40" s="25">
        <v>16.079000000000001</v>
      </c>
      <c r="CD40" s="25">
        <v>16.984000000000002</v>
      </c>
      <c r="CE40" s="25">
        <v>10.595000000000001</v>
      </c>
      <c r="CF40" s="25">
        <v>20.108000000000001</v>
      </c>
      <c r="CG40" s="25">
        <v>28.167999999999999</v>
      </c>
      <c r="CH40" s="25">
        <v>10.595000000000001</v>
      </c>
      <c r="CI40" s="25">
        <v>10.595000000000001</v>
      </c>
      <c r="CJ40" s="25">
        <v>10.595000000000001</v>
      </c>
      <c r="CK40" s="25">
        <v>10.595000000000001</v>
      </c>
      <c r="CL40" s="25">
        <v>10.595000000000001</v>
      </c>
      <c r="CM40" s="25">
        <v>10.595000000000001</v>
      </c>
      <c r="CN40" s="25">
        <v>10.595000000000001</v>
      </c>
      <c r="CO40" s="25">
        <v>10.595000000000001</v>
      </c>
      <c r="CP40" s="25">
        <v>10.595000000000001</v>
      </c>
      <c r="CQ40" s="25">
        <v>10.595000000000001</v>
      </c>
      <c r="CR40" s="25">
        <v>10.595000000000001</v>
      </c>
      <c r="CS40" s="25">
        <v>42.936999999999998</v>
      </c>
      <c r="CT40" s="25">
        <v>10.595000000000001</v>
      </c>
      <c r="CU40" s="25">
        <v>10.595000000000001</v>
      </c>
      <c r="CV40" s="25">
        <v>9.6129999999999995</v>
      </c>
      <c r="CW40" s="25">
        <v>10.595000000000001</v>
      </c>
      <c r="CX40" s="25">
        <v>10.595000000000001</v>
      </c>
      <c r="CY40" s="25">
        <v>10.595000000000001</v>
      </c>
      <c r="CZ40" s="25">
        <v>6.8529999999999998</v>
      </c>
      <c r="DA40" s="25">
        <v>9.1760000000000002</v>
      </c>
      <c r="DB40" s="25">
        <v>20.587</v>
      </c>
      <c r="DC40" s="25">
        <v>19.920000000000002</v>
      </c>
      <c r="DD40" s="25">
        <v>11.925000000000001</v>
      </c>
      <c r="DE40" s="25">
        <v>21.359000000000002</v>
      </c>
      <c r="DF40" s="25">
        <v>10.595000000000001</v>
      </c>
      <c r="DG40" s="25">
        <v>12.285</v>
      </c>
      <c r="DH40" s="25">
        <v>37.822000000000003</v>
      </c>
      <c r="DI40" s="25">
        <v>10.595000000000001</v>
      </c>
      <c r="DJ40" s="25">
        <v>10.595000000000001</v>
      </c>
      <c r="DK40" s="25">
        <v>8.81</v>
      </c>
      <c r="DL40" s="25">
        <v>10.595000000000001</v>
      </c>
      <c r="DM40" s="25">
        <v>21.359000000000002</v>
      </c>
      <c r="DN40" s="25">
        <v>10.595000000000001</v>
      </c>
      <c r="DO40" s="25">
        <v>10.595000000000001</v>
      </c>
      <c r="DP40" s="25">
        <v>10.595000000000001</v>
      </c>
      <c r="DQ40" s="25">
        <v>10.595000000000001</v>
      </c>
      <c r="DR40" s="25">
        <v>10.595000000000001</v>
      </c>
      <c r="DS40" s="25">
        <v>10.595000000000001</v>
      </c>
      <c r="DT40" s="25">
        <v>10.595000000000001</v>
      </c>
      <c r="DU40" s="25">
        <v>10.552</v>
      </c>
      <c r="DV40" s="25">
        <v>10.595000000000001</v>
      </c>
      <c r="DW40" s="25">
        <v>12.914999999999999</v>
      </c>
      <c r="DX40" s="25">
        <v>3.6040000000000001</v>
      </c>
      <c r="DY40" s="25">
        <v>10.595000000000001</v>
      </c>
      <c r="DZ40" s="25">
        <v>3.9729999999999999</v>
      </c>
      <c r="EA40" s="25">
        <v>10.595000000000001</v>
      </c>
      <c r="EB40" s="25">
        <v>12.256</v>
      </c>
      <c r="EC40" s="25">
        <v>10.595000000000001</v>
      </c>
      <c r="ED40" s="25">
        <v>10.595000000000001</v>
      </c>
      <c r="EE40" s="25">
        <v>10.595000000000001</v>
      </c>
      <c r="EF40" s="25">
        <v>10.595000000000001</v>
      </c>
      <c r="EG40" s="25">
        <v>13.098000000000001</v>
      </c>
      <c r="EH40" s="25">
        <v>15.561</v>
      </c>
      <c r="EI40" s="25">
        <v>10.595000000000001</v>
      </c>
      <c r="EJ40" s="25">
        <v>8.5719999999999992</v>
      </c>
      <c r="EK40" s="25">
        <v>10.595000000000001</v>
      </c>
      <c r="EL40" s="25">
        <v>10.595000000000001</v>
      </c>
      <c r="EM40" s="25">
        <v>8.0449999999999999</v>
      </c>
      <c r="EN40" s="25">
        <v>10.595000000000001</v>
      </c>
      <c r="EO40" s="25">
        <v>5.7990000000000004</v>
      </c>
      <c r="EP40" s="25">
        <v>10.595000000000001</v>
      </c>
      <c r="EQ40" s="25">
        <v>10.595000000000001</v>
      </c>
      <c r="ER40" s="25">
        <v>45.936</v>
      </c>
      <c r="ES40" s="25">
        <v>10.422000000000001</v>
      </c>
      <c r="ET40" s="25">
        <v>10.595000000000001</v>
      </c>
      <c r="EU40" s="25">
        <v>10.595000000000001</v>
      </c>
      <c r="EV40" s="25">
        <v>10.595000000000001</v>
      </c>
      <c r="EW40" s="25"/>
    </row>
    <row r="41" spans="1:153" ht="17.25" customHeight="1" x14ac:dyDescent="0.25">
      <c r="A41" s="25" t="s">
        <v>158</v>
      </c>
      <c r="B41" s="25">
        <v>5.6050000000000004</v>
      </c>
      <c r="C41" s="25">
        <v>4.3540000000000001</v>
      </c>
      <c r="D41" s="25">
        <v>3.742</v>
      </c>
      <c r="E41" s="25">
        <v>2.355</v>
      </c>
      <c r="F41" s="25">
        <v>2.4649999999999999</v>
      </c>
      <c r="G41" s="25">
        <v>0.46</v>
      </c>
      <c r="H41" s="25">
        <v>0.29399999999999998</v>
      </c>
      <c r="I41" s="25">
        <v>1.5660000000000001</v>
      </c>
      <c r="J41" s="25">
        <v>1.8340000000000001</v>
      </c>
      <c r="K41" s="25">
        <v>2.8119999999999998</v>
      </c>
      <c r="L41" s="25">
        <v>3.7679999999999998</v>
      </c>
      <c r="M41" s="25">
        <v>3.718</v>
      </c>
      <c r="N41" s="25">
        <v>2.35</v>
      </c>
      <c r="O41" s="25">
        <v>0</v>
      </c>
      <c r="P41" s="25">
        <v>1.327</v>
      </c>
      <c r="Q41" s="25">
        <v>2.1219999999999999</v>
      </c>
      <c r="R41" s="25">
        <v>2.98</v>
      </c>
      <c r="S41" s="25">
        <v>4.2060000000000004</v>
      </c>
      <c r="T41" s="25">
        <v>4.4690000000000003</v>
      </c>
      <c r="U41" s="25">
        <v>6.7939999999999996</v>
      </c>
      <c r="V41" s="25">
        <v>5.9569999999999999</v>
      </c>
      <c r="W41" s="25">
        <v>5.23</v>
      </c>
      <c r="X41" s="25">
        <v>9.8219999999999992</v>
      </c>
      <c r="Y41" s="25">
        <v>10.385999999999999</v>
      </c>
      <c r="Z41" s="25">
        <v>11.862</v>
      </c>
      <c r="AA41" s="25">
        <v>16.582000000000001</v>
      </c>
      <c r="AB41" s="25">
        <v>18.317</v>
      </c>
      <c r="AC41" s="25">
        <v>25.2</v>
      </c>
      <c r="AD41" s="25">
        <v>9.5760000000000005</v>
      </c>
      <c r="AE41" s="25">
        <v>7.3620000000000001</v>
      </c>
      <c r="AF41" s="25">
        <v>6.1390000000000002</v>
      </c>
      <c r="AG41" s="25">
        <v>5.2320000000000002</v>
      </c>
      <c r="AH41" s="25">
        <v>4.3540000000000001</v>
      </c>
      <c r="AI41" s="25">
        <v>0</v>
      </c>
      <c r="AJ41" s="25">
        <v>0.29399999999999998</v>
      </c>
      <c r="AK41" s="25">
        <v>1.5660000000000001</v>
      </c>
      <c r="AL41" s="25">
        <v>2.1219999999999999</v>
      </c>
      <c r="AM41" s="25">
        <v>4.97</v>
      </c>
      <c r="AN41" s="25">
        <v>11.773999999999999</v>
      </c>
      <c r="AO41" s="25">
        <v>0</v>
      </c>
      <c r="AP41" s="25">
        <v>7.8979999999999997</v>
      </c>
      <c r="AQ41" s="25">
        <v>4.8360000000000003</v>
      </c>
      <c r="AR41" s="25">
        <v>0</v>
      </c>
      <c r="AS41" s="25">
        <v>0</v>
      </c>
      <c r="AT41" s="25">
        <v>0</v>
      </c>
      <c r="AU41" s="25">
        <v>4.3250000000000002</v>
      </c>
      <c r="AV41" s="25">
        <v>0</v>
      </c>
      <c r="AW41" s="25">
        <v>3.9079999999999999</v>
      </c>
      <c r="AX41" s="25">
        <v>6.532</v>
      </c>
      <c r="AY41" s="25">
        <v>0</v>
      </c>
      <c r="AZ41" s="25">
        <v>1.899</v>
      </c>
      <c r="BA41" s="25">
        <v>0</v>
      </c>
      <c r="BB41" s="25">
        <v>1.3979999999999999</v>
      </c>
      <c r="BC41" s="25">
        <v>0</v>
      </c>
      <c r="BD41" s="25">
        <v>1.323</v>
      </c>
      <c r="BE41" s="25">
        <v>0</v>
      </c>
      <c r="BF41" s="25">
        <v>38.332000000000001</v>
      </c>
      <c r="BG41" s="25">
        <v>0</v>
      </c>
      <c r="BH41" s="25">
        <v>0</v>
      </c>
      <c r="BI41" s="25">
        <v>26.510999999999999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6.7750000000000004</v>
      </c>
      <c r="BQ41" s="25">
        <v>2.7160000000000002</v>
      </c>
      <c r="BR41" s="25">
        <v>0</v>
      </c>
      <c r="BS41" s="25">
        <v>0</v>
      </c>
      <c r="BT41" s="25">
        <v>0</v>
      </c>
      <c r="BU41" s="25">
        <v>8.5730000000000004</v>
      </c>
      <c r="BV41" s="25">
        <v>0</v>
      </c>
      <c r="BW41" s="25">
        <v>0</v>
      </c>
      <c r="BX41" s="25">
        <v>4.8630000000000004</v>
      </c>
      <c r="BY41" s="25">
        <v>1.661</v>
      </c>
      <c r="BZ41" s="25">
        <v>2.48</v>
      </c>
      <c r="CA41" s="25">
        <v>0</v>
      </c>
      <c r="CB41" s="25">
        <v>0</v>
      </c>
      <c r="CC41" s="25">
        <v>8.5419999999999998</v>
      </c>
      <c r="CD41" s="25">
        <v>10.385999999999999</v>
      </c>
      <c r="CE41" s="25">
        <v>0</v>
      </c>
      <c r="CF41" s="25">
        <v>18.539000000000001</v>
      </c>
      <c r="CG41" s="25">
        <v>26.599</v>
      </c>
      <c r="CH41" s="25">
        <v>0</v>
      </c>
      <c r="CI41" s="25">
        <v>0</v>
      </c>
      <c r="CJ41" s="25">
        <v>0</v>
      </c>
      <c r="CK41" s="25">
        <v>0</v>
      </c>
      <c r="CL41" s="25">
        <v>0</v>
      </c>
      <c r="CM41" s="25">
        <v>0</v>
      </c>
      <c r="CN41" s="25">
        <v>0</v>
      </c>
      <c r="CO41" s="25">
        <v>0</v>
      </c>
      <c r="CP41" s="25">
        <v>0</v>
      </c>
      <c r="CQ41" s="25">
        <v>0</v>
      </c>
      <c r="CR41" s="25">
        <v>0</v>
      </c>
      <c r="CS41" s="25">
        <v>45.210999999999999</v>
      </c>
      <c r="CT41" s="25">
        <v>0</v>
      </c>
      <c r="CU41" s="25">
        <v>0</v>
      </c>
      <c r="CV41" s="25">
        <v>3.0449999999999999</v>
      </c>
      <c r="CW41" s="25">
        <v>0</v>
      </c>
      <c r="CX41" s="25">
        <v>0</v>
      </c>
      <c r="CY41" s="25">
        <v>0</v>
      </c>
      <c r="CZ41" s="25">
        <v>7.8540000000000001</v>
      </c>
      <c r="DA41" s="25">
        <v>2.0979999999999999</v>
      </c>
      <c r="DB41" s="25">
        <v>13.99</v>
      </c>
      <c r="DC41" s="25">
        <v>13.323</v>
      </c>
      <c r="DD41" s="25">
        <v>3.762</v>
      </c>
      <c r="DE41" s="25">
        <v>16.651</v>
      </c>
      <c r="DF41" s="25">
        <v>0</v>
      </c>
      <c r="DG41" s="25">
        <v>7.407</v>
      </c>
      <c r="DH41" s="25">
        <v>36.253</v>
      </c>
      <c r="DI41" s="25">
        <v>0</v>
      </c>
      <c r="DJ41" s="25">
        <v>0</v>
      </c>
      <c r="DK41" s="25">
        <v>2.4380000000000002</v>
      </c>
      <c r="DL41" s="25">
        <v>0</v>
      </c>
      <c r="DM41" s="25">
        <v>16.651</v>
      </c>
      <c r="DN41" s="25">
        <v>0</v>
      </c>
      <c r="DO41" s="25">
        <v>0</v>
      </c>
      <c r="DP41" s="25">
        <v>0</v>
      </c>
      <c r="DQ41" s="25">
        <v>0</v>
      </c>
      <c r="DR41" s="25">
        <v>0</v>
      </c>
      <c r="DS41" s="25">
        <v>0</v>
      </c>
      <c r="DT41" s="25">
        <v>0</v>
      </c>
      <c r="DU41" s="25">
        <v>5.5010000000000003</v>
      </c>
      <c r="DV41" s="25">
        <v>0</v>
      </c>
      <c r="DW41" s="25">
        <v>8.3460000000000001</v>
      </c>
      <c r="DX41" s="25">
        <v>14.747999999999999</v>
      </c>
      <c r="DY41" s="25">
        <v>0</v>
      </c>
      <c r="DZ41" s="25">
        <v>15.013</v>
      </c>
      <c r="EA41" s="25">
        <v>0</v>
      </c>
      <c r="EB41" s="25">
        <v>7.3780000000000001</v>
      </c>
      <c r="EC41" s="25">
        <v>0</v>
      </c>
      <c r="ED41" s="25">
        <v>0</v>
      </c>
      <c r="EE41" s="25">
        <v>0</v>
      </c>
      <c r="EF41" s="25">
        <v>0</v>
      </c>
      <c r="EG41" s="25">
        <v>6.6349999999999998</v>
      </c>
      <c r="EH41" s="25">
        <v>7.3650000000000002</v>
      </c>
      <c r="EI41" s="25">
        <v>0</v>
      </c>
      <c r="EJ41" s="25">
        <v>2.1219999999999999</v>
      </c>
      <c r="EK41" s="25">
        <v>0</v>
      </c>
      <c r="EL41" s="25">
        <v>0</v>
      </c>
      <c r="EM41" s="25">
        <v>5.1740000000000004</v>
      </c>
      <c r="EN41" s="25">
        <v>0</v>
      </c>
      <c r="EO41" s="25">
        <v>5.2930000000000001</v>
      </c>
      <c r="EP41" s="25">
        <v>0</v>
      </c>
      <c r="EQ41" s="25">
        <v>0</v>
      </c>
      <c r="ER41" s="25">
        <v>44.366999999999997</v>
      </c>
      <c r="ES41" s="25">
        <v>10.365</v>
      </c>
      <c r="ET41" s="25">
        <v>0</v>
      </c>
      <c r="EU41" s="25">
        <v>0</v>
      </c>
      <c r="EV41" s="25">
        <v>0</v>
      </c>
      <c r="EW41" s="25"/>
    </row>
    <row r="42" spans="1:153" ht="17.25" customHeight="1" x14ac:dyDescent="0.25">
      <c r="A42" s="25" t="s">
        <v>159</v>
      </c>
      <c r="B42" s="25">
        <v>1.6839999999999999</v>
      </c>
      <c r="C42" s="25">
        <v>2.7240000000000002</v>
      </c>
      <c r="D42" s="25">
        <v>3.6269999999999998</v>
      </c>
      <c r="E42" s="25">
        <v>6.1749999999999998</v>
      </c>
      <c r="F42" s="25">
        <v>6.4660000000000002</v>
      </c>
      <c r="G42" s="25">
        <v>7.4269999999999996</v>
      </c>
      <c r="H42" s="25">
        <v>7.8209999999999997</v>
      </c>
      <c r="I42" s="25">
        <v>8.8490000000000002</v>
      </c>
      <c r="J42" s="25">
        <v>9.1059999999999999</v>
      </c>
      <c r="K42" s="25">
        <v>18.47</v>
      </c>
      <c r="L42" s="25">
        <v>17.704999999999998</v>
      </c>
      <c r="M42" s="25">
        <v>8.2509999999999994</v>
      </c>
      <c r="N42" s="25">
        <v>8.1890000000000001</v>
      </c>
      <c r="O42" s="25">
        <v>7.5430000000000001</v>
      </c>
      <c r="P42" s="25">
        <v>12.565</v>
      </c>
      <c r="Q42" s="25">
        <v>11.782999999999999</v>
      </c>
      <c r="R42" s="25">
        <v>10.746</v>
      </c>
      <c r="S42" s="25">
        <v>9.9930000000000003</v>
      </c>
      <c r="T42" s="25">
        <v>10.499000000000001</v>
      </c>
      <c r="U42" s="25">
        <v>12.404</v>
      </c>
      <c r="V42" s="25">
        <v>11.987</v>
      </c>
      <c r="W42" s="25">
        <v>11.26</v>
      </c>
      <c r="X42" s="25">
        <v>19.678000000000001</v>
      </c>
      <c r="Y42" s="25">
        <v>3.1339999999999999</v>
      </c>
      <c r="Z42" s="25">
        <v>4.609</v>
      </c>
      <c r="AA42" s="25">
        <v>6.9249999999999998</v>
      </c>
      <c r="AB42" s="25">
        <v>8.66</v>
      </c>
      <c r="AC42" s="25">
        <v>13.569000000000001</v>
      </c>
      <c r="AD42" s="25">
        <v>19.431999999999999</v>
      </c>
      <c r="AE42" s="25">
        <v>3.0760000000000001</v>
      </c>
      <c r="AF42" s="25">
        <v>16.012</v>
      </c>
      <c r="AG42" s="25">
        <v>16.300999999999998</v>
      </c>
      <c r="AH42" s="25">
        <v>2.7240000000000002</v>
      </c>
      <c r="AI42" s="25">
        <v>7.5430000000000001</v>
      </c>
      <c r="AJ42" s="25">
        <v>7.8209999999999997</v>
      </c>
      <c r="AK42" s="25">
        <v>8.8490000000000002</v>
      </c>
      <c r="AL42" s="25">
        <v>11.782999999999999</v>
      </c>
      <c r="AM42" s="25">
        <v>16.103999999999999</v>
      </c>
      <c r="AN42" s="25">
        <v>15.981</v>
      </c>
      <c r="AO42" s="25">
        <v>7.5430000000000001</v>
      </c>
      <c r="AP42" s="25">
        <v>0</v>
      </c>
      <c r="AQ42" s="25">
        <v>3.4279999999999999</v>
      </c>
      <c r="AR42" s="25">
        <v>7.5430000000000001</v>
      </c>
      <c r="AS42" s="25">
        <v>7.5430000000000001</v>
      </c>
      <c r="AT42" s="25">
        <v>7.5430000000000001</v>
      </c>
      <c r="AU42" s="25">
        <v>4.2969999999999997</v>
      </c>
      <c r="AV42" s="25">
        <v>7.5430000000000001</v>
      </c>
      <c r="AW42" s="25">
        <v>10.201000000000001</v>
      </c>
      <c r="AX42" s="25">
        <v>11.031000000000001</v>
      </c>
      <c r="AY42" s="25">
        <v>7.5430000000000001</v>
      </c>
      <c r="AZ42" s="25">
        <v>8.6329999999999991</v>
      </c>
      <c r="BA42" s="25">
        <v>7.5430000000000001</v>
      </c>
      <c r="BB42" s="25">
        <v>8.4149999999999991</v>
      </c>
      <c r="BC42" s="25">
        <v>7.5430000000000001</v>
      </c>
      <c r="BD42" s="25">
        <v>8.0570000000000004</v>
      </c>
      <c r="BE42" s="25">
        <v>7.5430000000000001</v>
      </c>
      <c r="BF42" s="25">
        <v>33.299999999999997</v>
      </c>
      <c r="BG42" s="25">
        <v>7.5430000000000001</v>
      </c>
      <c r="BH42" s="25">
        <v>7.5430000000000001</v>
      </c>
      <c r="BI42" s="25">
        <v>21.692</v>
      </c>
      <c r="BJ42" s="25">
        <v>7.5430000000000001</v>
      </c>
      <c r="BK42" s="25">
        <v>7.5430000000000001</v>
      </c>
      <c r="BL42" s="25">
        <v>7.5430000000000001</v>
      </c>
      <c r="BM42" s="25">
        <v>7.5430000000000001</v>
      </c>
      <c r="BN42" s="25">
        <v>7.5430000000000001</v>
      </c>
      <c r="BO42" s="25">
        <v>7.5430000000000001</v>
      </c>
      <c r="BP42" s="25">
        <v>11.975</v>
      </c>
      <c r="BQ42" s="25">
        <v>6.5389999999999997</v>
      </c>
      <c r="BR42" s="25">
        <v>7.5430000000000001</v>
      </c>
      <c r="BS42" s="25">
        <v>7.5430000000000001</v>
      </c>
      <c r="BT42" s="25">
        <v>7.5430000000000001</v>
      </c>
      <c r="BU42" s="25">
        <v>13.798</v>
      </c>
      <c r="BV42" s="25">
        <v>7.5430000000000001</v>
      </c>
      <c r="BW42" s="25">
        <v>7.5430000000000001</v>
      </c>
      <c r="BX42" s="25">
        <v>14.324999999999999</v>
      </c>
      <c r="BY42" s="25">
        <v>6.24</v>
      </c>
      <c r="BZ42" s="25">
        <v>6.3040000000000003</v>
      </c>
      <c r="CA42" s="25">
        <v>7.5430000000000001</v>
      </c>
      <c r="CB42" s="25">
        <v>7.5430000000000001</v>
      </c>
      <c r="CC42" s="25">
        <v>1.8009999999999999</v>
      </c>
      <c r="CD42" s="25">
        <v>3.1339999999999999</v>
      </c>
      <c r="CE42" s="25">
        <v>7.5430000000000001</v>
      </c>
      <c r="CF42" s="25">
        <v>10.567</v>
      </c>
      <c r="CG42" s="25">
        <v>21.565999999999999</v>
      </c>
      <c r="CH42" s="25">
        <v>7.5430000000000001</v>
      </c>
      <c r="CI42" s="25">
        <v>7.5430000000000001</v>
      </c>
      <c r="CJ42" s="25">
        <v>7.5430000000000001</v>
      </c>
      <c r="CK42" s="25">
        <v>7.5430000000000001</v>
      </c>
      <c r="CL42" s="25">
        <v>7.5430000000000001</v>
      </c>
      <c r="CM42" s="25">
        <v>7.5430000000000001</v>
      </c>
      <c r="CN42" s="25">
        <v>7.5430000000000001</v>
      </c>
      <c r="CO42" s="25">
        <v>7.5430000000000001</v>
      </c>
      <c r="CP42" s="25">
        <v>7.5430000000000001</v>
      </c>
      <c r="CQ42" s="25">
        <v>7.5430000000000001</v>
      </c>
      <c r="CR42" s="25">
        <v>7.5430000000000001</v>
      </c>
      <c r="CS42" s="25">
        <v>40.390999999999998</v>
      </c>
      <c r="CT42" s="25">
        <v>7.5430000000000001</v>
      </c>
      <c r="CU42" s="25">
        <v>7.5430000000000001</v>
      </c>
      <c r="CV42" s="25">
        <v>12.904</v>
      </c>
      <c r="CW42" s="25">
        <v>7.5430000000000001</v>
      </c>
      <c r="CX42" s="25">
        <v>7.5430000000000001</v>
      </c>
      <c r="CY42" s="25">
        <v>7.5430000000000001</v>
      </c>
      <c r="CZ42" s="25">
        <v>13.079000000000001</v>
      </c>
      <c r="DA42" s="25">
        <v>8.0630000000000006</v>
      </c>
      <c r="DB42" s="25">
        <v>6.7370000000000001</v>
      </c>
      <c r="DC42" s="25">
        <v>6.07</v>
      </c>
      <c r="DD42" s="25">
        <v>4.6219999999999999</v>
      </c>
      <c r="DE42" s="25">
        <v>26.332000000000001</v>
      </c>
      <c r="DF42" s="25">
        <v>7.5430000000000001</v>
      </c>
      <c r="DG42" s="25">
        <v>3.9279999999999999</v>
      </c>
      <c r="DH42" s="25">
        <v>31.221</v>
      </c>
      <c r="DI42" s="25">
        <v>7.5430000000000001</v>
      </c>
      <c r="DJ42" s="25">
        <v>7.5430000000000001</v>
      </c>
      <c r="DK42" s="25">
        <v>11.936999999999999</v>
      </c>
      <c r="DL42" s="25">
        <v>7.5430000000000001</v>
      </c>
      <c r="DM42" s="25">
        <v>26.332000000000001</v>
      </c>
      <c r="DN42" s="25">
        <v>7.5430000000000001</v>
      </c>
      <c r="DO42" s="25">
        <v>7.5430000000000001</v>
      </c>
      <c r="DP42" s="25">
        <v>7.5430000000000001</v>
      </c>
      <c r="DQ42" s="25">
        <v>7.5430000000000001</v>
      </c>
      <c r="DR42" s="25">
        <v>7.5430000000000001</v>
      </c>
      <c r="DS42" s="25">
        <v>7.5430000000000001</v>
      </c>
      <c r="DT42" s="25">
        <v>7.5430000000000001</v>
      </c>
      <c r="DU42" s="25">
        <v>4.2439999999999998</v>
      </c>
      <c r="DV42" s="25">
        <v>7.5430000000000001</v>
      </c>
      <c r="DW42" s="25">
        <v>18.202000000000002</v>
      </c>
      <c r="DX42" s="25">
        <v>20.765000000000001</v>
      </c>
      <c r="DY42" s="25">
        <v>7.5430000000000001</v>
      </c>
      <c r="DZ42" s="25">
        <v>21.03</v>
      </c>
      <c r="EA42" s="25">
        <v>7.5430000000000001</v>
      </c>
      <c r="EB42" s="25">
        <v>3.899</v>
      </c>
      <c r="EC42" s="25">
        <v>7.5430000000000001</v>
      </c>
      <c r="ED42" s="25">
        <v>7.5430000000000001</v>
      </c>
      <c r="EE42" s="25">
        <v>7.5430000000000001</v>
      </c>
      <c r="EF42" s="25">
        <v>7.5430000000000001</v>
      </c>
      <c r="EG42" s="25">
        <v>3.8889999999999998</v>
      </c>
      <c r="EH42" s="25">
        <v>21.17</v>
      </c>
      <c r="EI42" s="25">
        <v>7.5430000000000001</v>
      </c>
      <c r="EJ42" s="25">
        <v>11.782999999999999</v>
      </c>
      <c r="EK42" s="25">
        <v>7.5430000000000001</v>
      </c>
      <c r="EL42" s="25">
        <v>7.5430000000000001</v>
      </c>
      <c r="EM42" s="25">
        <v>11.204000000000001</v>
      </c>
      <c r="EN42" s="25">
        <v>7.5430000000000001</v>
      </c>
      <c r="EO42" s="25">
        <v>10.516999999999999</v>
      </c>
      <c r="EP42" s="25">
        <v>7.5430000000000001</v>
      </c>
      <c r="EQ42" s="25">
        <v>7.5430000000000001</v>
      </c>
      <c r="ER42" s="25">
        <v>39.335000000000001</v>
      </c>
      <c r="ES42" s="25">
        <v>20.221</v>
      </c>
      <c r="ET42" s="25">
        <v>7.5430000000000001</v>
      </c>
      <c r="EU42" s="25">
        <v>7.5430000000000001</v>
      </c>
      <c r="EV42" s="25">
        <v>7.5430000000000001</v>
      </c>
      <c r="EW42" s="25"/>
    </row>
    <row r="43" spans="1:153" ht="17.25" customHeight="1" x14ac:dyDescent="0.25">
      <c r="A43" s="25" t="s">
        <v>160</v>
      </c>
      <c r="B43" s="25">
        <v>1.994</v>
      </c>
      <c r="C43" s="25">
        <v>0.74199999999999999</v>
      </c>
      <c r="D43" s="25">
        <v>1.4870000000000001</v>
      </c>
      <c r="E43" s="25">
        <v>2.6739999999999999</v>
      </c>
      <c r="F43" s="25">
        <v>3.3679999999999999</v>
      </c>
      <c r="G43" s="25">
        <v>4.4000000000000004</v>
      </c>
      <c r="H43" s="25">
        <v>5.1539999999999999</v>
      </c>
      <c r="I43" s="25">
        <v>6.4260000000000002</v>
      </c>
      <c r="J43" s="25">
        <v>6.694</v>
      </c>
      <c r="K43" s="25">
        <v>7.7539999999999996</v>
      </c>
      <c r="L43" s="25">
        <v>8.6280000000000001</v>
      </c>
      <c r="M43" s="25">
        <v>7.5830000000000002</v>
      </c>
      <c r="N43" s="25">
        <v>6.5919999999999996</v>
      </c>
      <c r="O43" s="25">
        <v>4.8600000000000003</v>
      </c>
      <c r="P43" s="25">
        <v>4.681</v>
      </c>
      <c r="Q43" s="25">
        <v>4.6230000000000002</v>
      </c>
      <c r="R43" s="25">
        <v>5.63</v>
      </c>
      <c r="S43" s="25">
        <v>8.91</v>
      </c>
      <c r="T43" s="25">
        <v>9.4160000000000004</v>
      </c>
      <c r="U43" s="25">
        <v>11.321</v>
      </c>
      <c r="V43" s="25">
        <v>10.904</v>
      </c>
      <c r="W43" s="25">
        <v>10.177</v>
      </c>
      <c r="X43" s="25">
        <v>18.594999999999999</v>
      </c>
      <c r="Y43" s="25">
        <v>5.6379999999999999</v>
      </c>
      <c r="Z43" s="25">
        <v>7.1130000000000004</v>
      </c>
      <c r="AA43" s="25">
        <v>8.1950000000000003</v>
      </c>
      <c r="AB43" s="25">
        <v>9.93</v>
      </c>
      <c r="AC43" s="25">
        <v>19.047000000000001</v>
      </c>
      <c r="AD43" s="25">
        <v>18.349</v>
      </c>
      <c r="AE43" s="25">
        <v>3.1640000000000001</v>
      </c>
      <c r="AF43" s="25">
        <v>14.929</v>
      </c>
      <c r="AG43" s="25">
        <v>15.218</v>
      </c>
      <c r="AH43" s="25">
        <v>0.74199999999999999</v>
      </c>
      <c r="AI43" s="25">
        <v>4.8600000000000003</v>
      </c>
      <c r="AJ43" s="25">
        <v>5.1539999999999999</v>
      </c>
      <c r="AK43" s="25">
        <v>6.4260000000000002</v>
      </c>
      <c r="AL43" s="25">
        <v>4.6230000000000002</v>
      </c>
      <c r="AM43" s="25">
        <v>15.021000000000001</v>
      </c>
      <c r="AN43" s="25">
        <v>11.551</v>
      </c>
      <c r="AO43" s="25">
        <v>4.8600000000000003</v>
      </c>
      <c r="AP43" s="25">
        <v>3.3029999999999999</v>
      </c>
      <c r="AQ43" s="25">
        <v>0</v>
      </c>
      <c r="AR43" s="25">
        <v>4.8600000000000003</v>
      </c>
      <c r="AS43" s="25">
        <v>4.8600000000000003</v>
      </c>
      <c r="AT43" s="25">
        <v>4.8600000000000003</v>
      </c>
      <c r="AU43" s="25">
        <v>3.5489999999999999</v>
      </c>
      <c r="AV43" s="25">
        <v>4.8600000000000003</v>
      </c>
      <c r="AW43" s="25">
        <v>4.4939999999999998</v>
      </c>
      <c r="AX43" s="25">
        <v>10.363</v>
      </c>
      <c r="AY43" s="25">
        <v>4.8600000000000003</v>
      </c>
      <c r="AZ43" s="25">
        <v>6.7590000000000003</v>
      </c>
      <c r="BA43" s="25">
        <v>4.8600000000000003</v>
      </c>
      <c r="BB43" s="25">
        <v>4.7830000000000004</v>
      </c>
      <c r="BC43" s="25">
        <v>4.8600000000000003</v>
      </c>
      <c r="BD43" s="25">
        <v>6.1829999999999998</v>
      </c>
      <c r="BE43" s="25">
        <v>4.8600000000000003</v>
      </c>
      <c r="BF43" s="25">
        <v>32.18</v>
      </c>
      <c r="BG43" s="25">
        <v>4.8600000000000003</v>
      </c>
      <c r="BH43" s="25">
        <v>4.8600000000000003</v>
      </c>
      <c r="BI43" s="25">
        <v>20.609000000000002</v>
      </c>
      <c r="BJ43" s="25">
        <v>4.8600000000000003</v>
      </c>
      <c r="BK43" s="25">
        <v>4.8600000000000003</v>
      </c>
      <c r="BL43" s="25">
        <v>4.8600000000000003</v>
      </c>
      <c r="BM43" s="25">
        <v>4.8600000000000003</v>
      </c>
      <c r="BN43" s="25">
        <v>4.8600000000000003</v>
      </c>
      <c r="BO43" s="25">
        <v>4.8600000000000003</v>
      </c>
      <c r="BP43" s="25">
        <v>10.891999999999999</v>
      </c>
      <c r="BQ43" s="25">
        <v>3.4129999999999998</v>
      </c>
      <c r="BR43" s="25">
        <v>4.8600000000000003</v>
      </c>
      <c r="BS43" s="25">
        <v>4.8600000000000003</v>
      </c>
      <c r="BT43" s="25">
        <v>4.8600000000000003</v>
      </c>
      <c r="BU43" s="25">
        <v>6.4470000000000001</v>
      </c>
      <c r="BV43" s="25">
        <v>4.8600000000000003</v>
      </c>
      <c r="BW43" s="25">
        <v>4.8600000000000003</v>
      </c>
      <c r="BX43" s="25">
        <v>13.242000000000001</v>
      </c>
      <c r="BY43" s="25">
        <v>4.524</v>
      </c>
      <c r="BZ43" s="25">
        <v>2.536</v>
      </c>
      <c r="CA43" s="25">
        <v>4.8600000000000003</v>
      </c>
      <c r="CB43" s="25">
        <v>4.8600000000000003</v>
      </c>
      <c r="CC43" s="25">
        <v>4.7329999999999997</v>
      </c>
      <c r="CD43" s="25">
        <v>5.6379999999999999</v>
      </c>
      <c r="CE43" s="25">
        <v>4.8600000000000003</v>
      </c>
      <c r="CF43" s="25">
        <v>12.385999999999999</v>
      </c>
      <c r="CG43" s="25">
        <v>20.446000000000002</v>
      </c>
      <c r="CH43" s="25">
        <v>4.8600000000000003</v>
      </c>
      <c r="CI43" s="25">
        <v>4.8600000000000003</v>
      </c>
      <c r="CJ43" s="25">
        <v>4.8600000000000003</v>
      </c>
      <c r="CK43" s="25">
        <v>4.8600000000000003</v>
      </c>
      <c r="CL43" s="25">
        <v>4.8600000000000003</v>
      </c>
      <c r="CM43" s="25">
        <v>4.8600000000000003</v>
      </c>
      <c r="CN43" s="25">
        <v>4.8600000000000003</v>
      </c>
      <c r="CO43" s="25">
        <v>4.8600000000000003</v>
      </c>
      <c r="CP43" s="25">
        <v>4.8600000000000003</v>
      </c>
      <c r="CQ43" s="25">
        <v>4.8600000000000003</v>
      </c>
      <c r="CR43" s="25">
        <v>4.8600000000000003</v>
      </c>
      <c r="CS43" s="25">
        <v>39.308</v>
      </c>
      <c r="CT43" s="25">
        <v>4.8600000000000003</v>
      </c>
      <c r="CU43" s="25">
        <v>4.8600000000000003</v>
      </c>
      <c r="CV43" s="25">
        <v>6.5149999999999997</v>
      </c>
      <c r="CW43" s="25">
        <v>4.8600000000000003</v>
      </c>
      <c r="CX43" s="25">
        <v>4.8600000000000003</v>
      </c>
      <c r="CY43" s="25">
        <v>4.8600000000000003</v>
      </c>
      <c r="CZ43" s="25">
        <v>5.7279999999999998</v>
      </c>
      <c r="DA43" s="25">
        <v>3.851</v>
      </c>
      <c r="DB43" s="25">
        <v>9.2409999999999997</v>
      </c>
      <c r="DC43" s="25">
        <v>8.5739999999999998</v>
      </c>
      <c r="DD43" s="25">
        <v>2.198</v>
      </c>
      <c r="DE43" s="25">
        <v>25.248999999999999</v>
      </c>
      <c r="DF43" s="25">
        <v>4.8600000000000003</v>
      </c>
      <c r="DG43" s="25">
        <v>2.82</v>
      </c>
      <c r="DH43" s="25">
        <v>30.100999999999999</v>
      </c>
      <c r="DI43" s="25">
        <v>4.8600000000000003</v>
      </c>
      <c r="DJ43" s="25">
        <v>4.8600000000000003</v>
      </c>
      <c r="DK43" s="25">
        <v>5.2939999999999996</v>
      </c>
      <c r="DL43" s="25">
        <v>4.8600000000000003</v>
      </c>
      <c r="DM43" s="25">
        <v>25.248999999999999</v>
      </c>
      <c r="DN43" s="25">
        <v>4.8600000000000003</v>
      </c>
      <c r="DO43" s="25">
        <v>4.8600000000000003</v>
      </c>
      <c r="DP43" s="25">
        <v>4.8600000000000003</v>
      </c>
      <c r="DQ43" s="25">
        <v>4.8600000000000003</v>
      </c>
      <c r="DR43" s="25">
        <v>4.8600000000000003</v>
      </c>
      <c r="DS43" s="25">
        <v>4.8600000000000003</v>
      </c>
      <c r="DT43" s="25">
        <v>4.8600000000000003</v>
      </c>
      <c r="DU43" s="25">
        <v>0.89500000000000002</v>
      </c>
      <c r="DV43" s="25">
        <v>4.8600000000000003</v>
      </c>
      <c r="DW43" s="25">
        <v>17.119</v>
      </c>
      <c r="DX43" s="25">
        <v>19.681999999999999</v>
      </c>
      <c r="DY43" s="25">
        <v>4.8600000000000003</v>
      </c>
      <c r="DZ43" s="25">
        <v>19.946999999999999</v>
      </c>
      <c r="EA43" s="25">
        <v>4.8600000000000003</v>
      </c>
      <c r="EB43" s="25">
        <v>2.7909999999999999</v>
      </c>
      <c r="EC43" s="25">
        <v>4.8600000000000003</v>
      </c>
      <c r="ED43" s="25">
        <v>4.8600000000000003</v>
      </c>
      <c r="EE43" s="25">
        <v>4.8600000000000003</v>
      </c>
      <c r="EF43" s="25">
        <v>4.8600000000000003</v>
      </c>
      <c r="EG43" s="25">
        <v>2.048</v>
      </c>
      <c r="EH43" s="25">
        <v>12.055</v>
      </c>
      <c r="EI43" s="25">
        <v>4.8600000000000003</v>
      </c>
      <c r="EJ43" s="25">
        <v>4.6230000000000002</v>
      </c>
      <c r="EK43" s="25">
        <v>4.8600000000000003</v>
      </c>
      <c r="EL43" s="25">
        <v>4.8600000000000003</v>
      </c>
      <c r="EM43" s="25">
        <v>10.121</v>
      </c>
      <c r="EN43" s="25">
        <v>4.8600000000000003</v>
      </c>
      <c r="EO43" s="25">
        <v>9.4339999999999993</v>
      </c>
      <c r="EP43" s="25">
        <v>4.8600000000000003</v>
      </c>
      <c r="EQ43" s="25">
        <v>4.8600000000000003</v>
      </c>
      <c r="ER43" s="25">
        <v>38.215000000000003</v>
      </c>
      <c r="ES43" s="25">
        <v>19.138000000000002</v>
      </c>
      <c r="ET43" s="25">
        <v>4.8600000000000003</v>
      </c>
      <c r="EU43" s="25">
        <v>4.8600000000000003</v>
      </c>
      <c r="EV43" s="25">
        <v>4.8600000000000003</v>
      </c>
      <c r="EW43" s="25"/>
    </row>
    <row r="44" spans="1:153" ht="17.25" customHeight="1" x14ac:dyDescent="0.25">
      <c r="A44" s="25" t="s">
        <v>161</v>
      </c>
      <c r="B44" s="25">
        <v>5.6050000000000004</v>
      </c>
      <c r="C44" s="25">
        <v>4.3540000000000001</v>
      </c>
      <c r="D44" s="25">
        <v>3.742</v>
      </c>
      <c r="E44" s="25">
        <v>2.355</v>
      </c>
      <c r="F44" s="25">
        <v>2.4649999999999999</v>
      </c>
      <c r="G44" s="25">
        <v>0.46</v>
      </c>
      <c r="H44" s="25">
        <v>0.29399999999999998</v>
      </c>
      <c r="I44" s="25">
        <v>1.5660000000000001</v>
      </c>
      <c r="J44" s="25">
        <v>1.8340000000000001</v>
      </c>
      <c r="K44" s="25">
        <v>2.8119999999999998</v>
      </c>
      <c r="L44" s="25">
        <v>3.7679999999999998</v>
      </c>
      <c r="M44" s="25">
        <v>3.718</v>
      </c>
      <c r="N44" s="25">
        <v>2.35</v>
      </c>
      <c r="O44" s="25">
        <v>0</v>
      </c>
      <c r="P44" s="25">
        <v>1.327</v>
      </c>
      <c r="Q44" s="25">
        <v>2.1219999999999999</v>
      </c>
      <c r="R44" s="25">
        <v>2.98</v>
      </c>
      <c r="S44" s="25">
        <v>4.2060000000000004</v>
      </c>
      <c r="T44" s="25">
        <v>4.4690000000000003</v>
      </c>
      <c r="U44" s="25">
        <v>6.7939999999999996</v>
      </c>
      <c r="V44" s="25">
        <v>5.9569999999999999</v>
      </c>
      <c r="W44" s="25">
        <v>5.23</v>
      </c>
      <c r="X44" s="25">
        <v>9.8219999999999992</v>
      </c>
      <c r="Y44" s="25">
        <v>10.385999999999999</v>
      </c>
      <c r="Z44" s="25">
        <v>11.862</v>
      </c>
      <c r="AA44" s="25">
        <v>16.582000000000001</v>
      </c>
      <c r="AB44" s="25">
        <v>18.317</v>
      </c>
      <c r="AC44" s="25">
        <v>25.2</v>
      </c>
      <c r="AD44" s="25">
        <v>9.5760000000000005</v>
      </c>
      <c r="AE44" s="25">
        <v>7.3620000000000001</v>
      </c>
      <c r="AF44" s="25">
        <v>6.1390000000000002</v>
      </c>
      <c r="AG44" s="25">
        <v>5.2320000000000002</v>
      </c>
      <c r="AH44" s="25">
        <v>4.3540000000000001</v>
      </c>
      <c r="AI44" s="25">
        <v>0</v>
      </c>
      <c r="AJ44" s="25">
        <v>0.29399999999999998</v>
      </c>
      <c r="AK44" s="25">
        <v>1.5660000000000001</v>
      </c>
      <c r="AL44" s="25">
        <v>2.1219999999999999</v>
      </c>
      <c r="AM44" s="25">
        <v>4.97</v>
      </c>
      <c r="AN44" s="25">
        <v>11.773999999999999</v>
      </c>
      <c r="AO44" s="25">
        <v>0</v>
      </c>
      <c r="AP44" s="25">
        <v>7.8979999999999997</v>
      </c>
      <c r="AQ44" s="25">
        <v>4.8360000000000003</v>
      </c>
      <c r="AR44" s="25">
        <v>0</v>
      </c>
      <c r="AS44" s="25">
        <v>0</v>
      </c>
      <c r="AT44" s="25">
        <v>0</v>
      </c>
      <c r="AU44" s="25">
        <v>4.3250000000000002</v>
      </c>
      <c r="AV44" s="25">
        <v>0</v>
      </c>
      <c r="AW44" s="25">
        <v>3.9079999999999999</v>
      </c>
      <c r="AX44" s="25">
        <v>6.532</v>
      </c>
      <c r="AY44" s="25">
        <v>0</v>
      </c>
      <c r="AZ44" s="25">
        <v>1.899</v>
      </c>
      <c r="BA44" s="25">
        <v>0</v>
      </c>
      <c r="BB44" s="25">
        <v>1.3979999999999999</v>
      </c>
      <c r="BC44" s="25">
        <v>0</v>
      </c>
      <c r="BD44" s="25">
        <v>1.323</v>
      </c>
      <c r="BE44" s="25">
        <v>0</v>
      </c>
      <c r="BF44" s="25">
        <v>38.332000000000001</v>
      </c>
      <c r="BG44" s="25">
        <v>0</v>
      </c>
      <c r="BH44" s="25">
        <v>0</v>
      </c>
      <c r="BI44" s="25">
        <v>26.510999999999999</v>
      </c>
      <c r="BJ44" s="25">
        <v>0</v>
      </c>
      <c r="BK44" s="25">
        <v>0</v>
      </c>
      <c r="BL44" s="25">
        <v>0</v>
      </c>
      <c r="BM44" s="25">
        <v>0</v>
      </c>
      <c r="BN44" s="25">
        <v>0</v>
      </c>
      <c r="BO44" s="25">
        <v>0</v>
      </c>
      <c r="BP44" s="25">
        <v>6.7750000000000004</v>
      </c>
      <c r="BQ44" s="25">
        <v>2.7160000000000002</v>
      </c>
      <c r="BR44" s="25">
        <v>0</v>
      </c>
      <c r="BS44" s="25">
        <v>0</v>
      </c>
      <c r="BT44" s="25">
        <v>0</v>
      </c>
      <c r="BU44" s="25">
        <v>8.5730000000000004</v>
      </c>
      <c r="BV44" s="25">
        <v>0</v>
      </c>
      <c r="BW44" s="25">
        <v>0</v>
      </c>
      <c r="BX44" s="25">
        <v>4.8630000000000004</v>
      </c>
      <c r="BY44" s="25">
        <v>1.661</v>
      </c>
      <c r="BZ44" s="25">
        <v>2.48</v>
      </c>
      <c r="CA44" s="25">
        <v>0</v>
      </c>
      <c r="CB44" s="25">
        <v>0</v>
      </c>
      <c r="CC44" s="25">
        <v>8.5419999999999998</v>
      </c>
      <c r="CD44" s="25">
        <v>10.385999999999999</v>
      </c>
      <c r="CE44" s="25">
        <v>0</v>
      </c>
      <c r="CF44" s="25">
        <v>18.539000000000001</v>
      </c>
      <c r="CG44" s="25">
        <v>26.599</v>
      </c>
      <c r="CH44" s="25">
        <v>0</v>
      </c>
      <c r="CI44" s="25">
        <v>0</v>
      </c>
      <c r="CJ44" s="25">
        <v>0</v>
      </c>
      <c r="CK44" s="25">
        <v>0</v>
      </c>
      <c r="CL44" s="25">
        <v>0</v>
      </c>
      <c r="CM44" s="25">
        <v>0</v>
      </c>
      <c r="CN44" s="25">
        <v>0</v>
      </c>
      <c r="CO44" s="25">
        <v>0</v>
      </c>
      <c r="CP44" s="25">
        <v>0</v>
      </c>
      <c r="CQ44" s="25">
        <v>0</v>
      </c>
      <c r="CR44" s="25">
        <v>0</v>
      </c>
      <c r="CS44" s="25">
        <v>45.210999999999999</v>
      </c>
      <c r="CT44" s="25">
        <v>0</v>
      </c>
      <c r="CU44" s="25">
        <v>0</v>
      </c>
      <c r="CV44" s="25">
        <v>3.0449999999999999</v>
      </c>
      <c r="CW44" s="25">
        <v>0</v>
      </c>
      <c r="CX44" s="25">
        <v>0</v>
      </c>
      <c r="CY44" s="25">
        <v>0</v>
      </c>
      <c r="CZ44" s="25">
        <v>7.8540000000000001</v>
      </c>
      <c r="DA44" s="25">
        <v>2.0979999999999999</v>
      </c>
      <c r="DB44" s="25">
        <v>13.99</v>
      </c>
      <c r="DC44" s="25">
        <v>13.323</v>
      </c>
      <c r="DD44" s="25">
        <v>3.762</v>
      </c>
      <c r="DE44" s="25">
        <v>16.651</v>
      </c>
      <c r="DF44" s="25">
        <v>0</v>
      </c>
      <c r="DG44" s="25">
        <v>7.407</v>
      </c>
      <c r="DH44" s="25">
        <v>36.253</v>
      </c>
      <c r="DI44" s="25">
        <v>0</v>
      </c>
      <c r="DJ44" s="25">
        <v>0</v>
      </c>
      <c r="DK44" s="25">
        <v>2.4380000000000002</v>
      </c>
      <c r="DL44" s="25">
        <v>0</v>
      </c>
      <c r="DM44" s="25">
        <v>16.651</v>
      </c>
      <c r="DN44" s="25">
        <v>0</v>
      </c>
      <c r="DO44" s="25">
        <v>0</v>
      </c>
      <c r="DP44" s="25">
        <v>0</v>
      </c>
      <c r="DQ44" s="25">
        <v>0</v>
      </c>
      <c r="DR44" s="25">
        <v>0</v>
      </c>
      <c r="DS44" s="25">
        <v>0</v>
      </c>
      <c r="DT44" s="25">
        <v>0</v>
      </c>
      <c r="DU44" s="25">
        <v>5.5010000000000003</v>
      </c>
      <c r="DV44" s="25">
        <v>0</v>
      </c>
      <c r="DW44" s="25">
        <v>8.3460000000000001</v>
      </c>
      <c r="DX44" s="25">
        <v>14.747999999999999</v>
      </c>
      <c r="DY44" s="25">
        <v>0</v>
      </c>
      <c r="DZ44" s="25">
        <v>15.013</v>
      </c>
      <c r="EA44" s="25">
        <v>0</v>
      </c>
      <c r="EB44" s="25">
        <v>7.3780000000000001</v>
      </c>
      <c r="EC44" s="25">
        <v>0</v>
      </c>
      <c r="ED44" s="25">
        <v>0</v>
      </c>
      <c r="EE44" s="25">
        <v>0</v>
      </c>
      <c r="EF44" s="25">
        <v>0</v>
      </c>
      <c r="EG44" s="25">
        <v>6.6349999999999998</v>
      </c>
      <c r="EH44" s="25">
        <v>7.3650000000000002</v>
      </c>
      <c r="EI44" s="25">
        <v>0</v>
      </c>
      <c r="EJ44" s="25">
        <v>2.1219999999999999</v>
      </c>
      <c r="EK44" s="25">
        <v>0</v>
      </c>
      <c r="EL44" s="25">
        <v>0</v>
      </c>
      <c r="EM44" s="25">
        <v>5.1740000000000004</v>
      </c>
      <c r="EN44" s="25">
        <v>0</v>
      </c>
      <c r="EO44" s="25">
        <v>5.2930000000000001</v>
      </c>
      <c r="EP44" s="25">
        <v>0</v>
      </c>
      <c r="EQ44" s="25">
        <v>0</v>
      </c>
      <c r="ER44" s="25">
        <v>44.366999999999997</v>
      </c>
      <c r="ES44" s="25">
        <v>10.365</v>
      </c>
      <c r="ET44" s="25">
        <v>0</v>
      </c>
      <c r="EU44" s="25">
        <v>0</v>
      </c>
      <c r="EV44" s="25">
        <v>0</v>
      </c>
      <c r="EW44" s="25"/>
    </row>
    <row r="45" spans="1:153" ht="17.25" customHeight="1" x14ac:dyDescent="0.25">
      <c r="A45" s="25" t="s">
        <v>162</v>
      </c>
      <c r="B45" s="25">
        <v>5.6050000000000004</v>
      </c>
      <c r="C45" s="25">
        <v>4.3540000000000001</v>
      </c>
      <c r="D45" s="25">
        <v>3.742</v>
      </c>
      <c r="E45" s="25">
        <v>2.355</v>
      </c>
      <c r="F45" s="25">
        <v>2.4649999999999999</v>
      </c>
      <c r="G45" s="25">
        <v>0.46</v>
      </c>
      <c r="H45" s="25">
        <v>0.29399999999999998</v>
      </c>
      <c r="I45" s="25">
        <v>1.5660000000000001</v>
      </c>
      <c r="J45" s="25">
        <v>1.8340000000000001</v>
      </c>
      <c r="K45" s="25">
        <v>2.8119999999999998</v>
      </c>
      <c r="L45" s="25">
        <v>3.7679999999999998</v>
      </c>
      <c r="M45" s="25">
        <v>3.718</v>
      </c>
      <c r="N45" s="25">
        <v>2.35</v>
      </c>
      <c r="O45" s="25">
        <v>0</v>
      </c>
      <c r="P45" s="25">
        <v>1.327</v>
      </c>
      <c r="Q45" s="25">
        <v>2.1219999999999999</v>
      </c>
      <c r="R45" s="25">
        <v>2.98</v>
      </c>
      <c r="S45" s="25">
        <v>4.2060000000000004</v>
      </c>
      <c r="T45" s="25">
        <v>4.4690000000000003</v>
      </c>
      <c r="U45" s="25">
        <v>6.7939999999999996</v>
      </c>
      <c r="V45" s="25">
        <v>5.9569999999999999</v>
      </c>
      <c r="W45" s="25">
        <v>5.23</v>
      </c>
      <c r="X45" s="25">
        <v>9.8219999999999992</v>
      </c>
      <c r="Y45" s="25">
        <v>10.385999999999999</v>
      </c>
      <c r="Z45" s="25">
        <v>11.862</v>
      </c>
      <c r="AA45" s="25">
        <v>16.582000000000001</v>
      </c>
      <c r="AB45" s="25">
        <v>18.317</v>
      </c>
      <c r="AC45" s="25">
        <v>25.2</v>
      </c>
      <c r="AD45" s="25">
        <v>9.5760000000000005</v>
      </c>
      <c r="AE45" s="25">
        <v>7.3620000000000001</v>
      </c>
      <c r="AF45" s="25">
        <v>6.1390000000000002</v>
      </c>
      <c r="AG45" s="25">
        <v>5.2320000000000002</v>
      </c>
      <c r="AH45" s="25">
        <v>4.3540000000000001</v>
      </c>
      <c r="AI45" s="25">
        <v>0</v>
      </c>
      <c r="AJ45" s="25">
        <v>0.29399999999999998</v>
      </c>
      <c r="AK45" s="25">
        <v>1.5660000000000001</v>
      </c>
      <c r="AL45" s="25">
        <v>2.1219999999999999</v>
      </c>
      <c r="AM45" s="25">
        <v>4.97</v>
      </c>
      <c r="AN45" s="25">
        <v>11.773999999999999</v>
      </c>
      <c r="AO45" s="25">
        <v>0</v>
      </c>
      <c r="AP45" s="25">
        <v>7.8979999999999997</v>
      </c>
      <c r="AQ45" s="25">
        <v>4.8360000000000003</v>
      </c>
      <c r="AR45" s="25">
        <v>0</v>
      </c>
      <c r="AS45" s="25">
        <v>0</v>
      </c>
      <c r="AT45" s="25">
        <v>0</v>
      </c>
      <c r="AU45" s="25">
        <v>4.3250000000000002</v>
      </c>
      <c r="AV45" s="25">
        <v>0</v>
      </c>
      <c r="AW45" s="25">
        <v>3.9079999999999999</v>
      </c>
      <c r="AX45" s="25">
        <v>6.532</v>
      </c>
      <c r="AY45" s="25">
        <v>0</v>
      </c>
      <c r="AZ45" s="25">
        <v>1.899</v>
      </c>
      <c r="BA45" s="25">
        <v>0</v>
      </c>
      <c r="BB45" s="25">
        <v>1.3979999999999999</v>
      </c>
      <c r="BC45" s="25">
        <v>0</v>
      </c>
      <c r="BD45" s="25">
        <v>1.323</v>
      </c>
      <c r="BE45" s="25">
        <v>0</v>
      </c>
      <c r="BF45" s="25">
        <v>38.332000000000001</v>
      </c>
      <c r="BG45" s="25">
        <v>0</v>
      </c>
      <c r="BH45" s="25">
        <v>0</v>
      </c>
      <c r="BI45" s="25">
        <v>26.510999999999999</v>
      </c>
      <c r="BJ45" s="25">
        <v>0</v>
      </c>
      <c r="BK45" s="25">
        <v>0</v>
      </c>
      <c r="BL45" s="25">
        <v>0</v>
      </c>
      <c r="BM45" s="25">
        <v>0</v>
      </c>
      <c r="BN45" s="25">
        <v>0</v>
      </c>
      <c r="BO45" s="25">
        <v>0</v>
      </c>
      <c r="BP45" s="25">
        <v>6.7750000000000004</v>
      </c>
      <c r="BQ45" s="25">
        <v>2.7160000000000002</v>
      </c>
      <c r="BR45" s="25">
        <v>0</v>
      </c>
      <c r="BS45" s="25">
        <v>0</v>
      </c>
      <c r="BT45" s="25">
        <v>0</v>
      </c>
      <c r="BU45" s="25">
        <v>8.5730000000000004</v>
      </c>
      <c r="BV45" s="25">
        <v>0</v>
      </c>
      <c r="BW45" s="25">
        <v>0</v>
      </c>
      <c r="BX45" s="25">
        <v>4.8630000000000004</v>
      </c>
      <c r="BY45" s="25">
        <v>1.661</v>
      </c>
      <c r="BZ45" s="25">
        <v>2.48</v>
      </c>
      <c r="CA45" s="25">
        <v>0</v>
      </c>
      <c r="CB45" s="25">
        <v>0</v>
      </c>
      <c r="CC45" s="25">
        <v>8.5419999999999998</v>
      </c>
      <c r="CD45" s="25">
        <v>10.385999999999999</v>
      </c>
      <c r="CE45" s="25">
        <v>0</v>
      </c>
      <c r="CF45" s="25">
        <v>18.539000000000001</v>
      </c>
      <c r="CG45" s="25">
        <v>26.599</v>
      </c>
      <c r="CH45" s="25">
        <v>0</v>
      </c>
      <c r="CI45" s="25">
        <v>0</v>
      </c>
      <c r="CJ45" s="25">
        <v>0</v>
      </c>
      <c r="CK45" s="25">
        <v>0</v>
      </c>
      <c r="CL45" s="25">
        <v>0</v>
      </c>
      <c r="CM45" s="25">
        <v>0</v>
      </c>
      <c r="CN45" s="25">
        <v>0</v>
      </c>
      <c r="CO45" s="25">
        <v>0</v>
      </c>
      <c r="CP45" s="25">
        <v>0</v>
      </c>
      <c r="CQ45" s="25">
        <v>0</v>
      </c>
      <c r="CR45" s="25">
        <v>0</v>
      </c>
      <c r="CS45" s="25">
        <v>45.210999999999999</v>
      </c>
      <c r="CT45" s="25">
        <v>0</v>
      </c>
      <c r="CU45" s="25">
        <v>0</v>
      </c>
      <c r="CV45" s="25">
        <v>3.0449999999999999</v>
      </c>
      <c r="CW45" s="25">
        <v>0</v>
      </c>
      <c r="CX45" s="25">
        <v>0</v>
      </c>
      <c r="CY45" s="25">
        <v>0</v>
      </c>
      <c r="CZ45" s="25">
        <v>7.8540000000000001</v>
      </c>
      <c r="DA45" s="25">
        <v>2.0979999999999999</v>
      </c>
      <c r="DB45" s="25">
        <v>13.99</v>
      </c>
      <c r="DC45" s="25">
        <v>13.323</v>
      </c>
      <c r="DD45" s="25">
        <v>3.762</v>
      </c>
      <c r="DE45" s="25">
        <v>16.651</v>
      </c>
      <c r="DF45" s="25">
        <v>0</v>
      </c>
      <c r="DG45" s="25">
        <v>7.407</v>
      </c>
      <c r="DH45" s="25">
        <v>36.253</v>
      </c>
      <c r="DI45" s="25">
        <v>0</v>
      </c>
      <c r="DJ45" s="25">
        <v>0</v>
      </c>
      <c r="DK45" s="25">
        <v>2.4380000000000002</v>
      </c>
      <c r="DL45" s="25">
        <v>0</v>
      </c>
      <c r="DM45" s="25">
        <v>16.651</v>
      </c>
      <c r="DN45" s="25">
        <v>0</v>
      </c>
      <c r="DO45" s="25">
        <v>0</v>
      </c>
      <c r="DP45" s="25">
        <v>0</v>
      </c>
      <c r="DQ45" s="25">
        <v>0</v>
      </c>
      <c r="DR45" s="25">
        <v>0</v>
      </c>
      <c r="DS45" s="25">
        <v>0</v>
      </c>
      <c r="DT45" s="25">
        <v>0</v>
      </c>
      <c r="DU45" s="25">
        <v>5.5010000000000003</v>
      </c>
      <c r="DV45" s="25">
        <v>0</v>
      </c>
      <c r="DW45" s="25">
        <v>8.3460000000000001</v>
      </c>
      <c r="DX45" s="25">
        <v>14.747999999999999</v>
      </c>
      <c r="DY45" s="25">
        <v>0</v>
      </c>
      <c r="DZ45" s="25">
        <v>15.013</v>
      </c>
      <c r="EA45" s="25">
        <v>0</v>
      </c>
      <c r="EB45" s="25">
        <v>7.3780000000000001</v>
      </c>
      <c r="EC45" s="25">
        <v>0</v>
      </c>
      <c r="ED45" s="25">
        <v>0</v>
      </c>
      <c r="EE45" s="25">
        <v>0</v>
      </c>
      <c r="EF45" s="25">
        <v>0</v>
      </c>
      <c r="EG45" s="25">
        <v>6.6349999999999998</v>
      </c>
      <c r="EH45" s="25">
        <v>7.3650000000000002</v>
      </c>
      <c r="EI45" s="25">
        <v>0</v>
      </c>
      <c r="EJ45" s="25">
        <v>2.1219999999999999</v>
      </c>
      <c r="EK45" s="25">
        <v>0</v>
      </c>
      <c r="EL45" s="25">
        <v>0</v>
      </c>
      <c r="EM45" s="25">
        <v>5.1740000000000004</v>
      </c>
      <c r="EN45" s="25">
        <v>0</v>
      </c>
      <c r="EO45" s="25">
        <v>5.2930000000000001</v>
      </c>
      <c r="EP45" s="25">
        <v>0</v>
      </c>
      <c r="EQ45" s="25">
        <v>0</v>
      </c>
      <c r="ER45" s="25">
        <v>44.366999999999997</v>
      </c>
      <c r="ES45" s="25">
        <v>10.365</v>
      </c>
      <c r="ET45" s="25">
        <v>0</v>
      </c>
      <c r="EU45" s="25">
        <v>0</v>
      </c>
      <c r="EV45" s="25">
        <v>0</v>
      </c>
      <c r="EW45" s="25"/>
    </row>
    <row r="46" spans="1:153" ht="17.25" customHeight="1" x14ac:dyDescent="0.25">
      <c r="A46" s="25" t="s">
        <v>163</v>
      </c>
      <c r="B46" s="25">
        <v>5.6050000000000004</v>
      </c>
      <c r="C46" s="25">
        <v>4.3540000000000001</v>
      </c>
      <c r="D46" s="25">
        <v>3.742</v>
      </c>
      <c r="E46" s="25">
        <v>2.355</v>
      </c>
      <c r="F46" s="25">
        <v>2.4649999999999999</v>
      </c>
      <c r="G46" s="25">
        <v>0.46</v>
      </c>
      <c r="H46" s="25">
        <v>0.29399999999999998</v>
      </c>
      <c r="I46" s="25">
        <v>1.5660000000000001</v>
      </c>
      <c r="J46" s="25">
        <v>1.8340000000000001</v>
      </c>
      <c r="K46" s="25">
        <v>2.8119999999999998</v>
      </c>
      <c r="L46" s="25">
        <v>3.7679999999999998</v>
      </c>
      <c r="M46" s="25">
        <v>3.718</v>
      </c>
      <c r="N46" s="25">
        <v>2.35</v>
      </c>
      <c r="O46" s="25">
        <v>0</v>
      </c>
      <c r="P46" s="25">
        <v>1.327</v>
      </c>
      <c r="Q46" s="25">
        <v>2.1219999999999999</v>
      </c>
      <c r="R46" s="25">
        <v>2.98</v>
      </c>
      <c r="S46" s="25">
        <v>4.2060000000000004</v>
      </c>
      <c r="T46" s="25">
        <v>4.4690000000000003</v>
      </c>
      <c r="U46" s="25">
        <v>6.7939999999999996</v>
      </c>
      <c r="V46" s="25">
        <v>5.9569999999999999</v>
      </c>
      <c r="W46" s="25">
        <v>5.23</v>
      </c>
      <c r="X46" s="25">
        <v>9.8219999999999992</v>
      </c>
      <c r="Y46" s="25">
        <v>10.385999999999999</v>
      </c>
      <c r="Z46" s="25">
        <v>11.862</v>
      </c>
      <c r="AA46" s="25">
        <v>16.582000000000001</v>
      </c>
      <c r="AB46" s="25">
        <v>18.317</v>
      </c>
      <c r="AC46" s="25">
        <v>25.2</v>
      </c>
      <c r="AD46" s="25">
        <v>9.5760000000000005</v>
      </c>
      <c r="AE46" s="25">
        <v>7.3620000000000001</v>
      </c>
      <c r="AF46" s="25">
        <v>6.1390000000000002</v>
      </c>
      <c r="AG46" s="25">
        <v>5.2320000000000002</v>
      </c>
      <c r="AH46" s="25">
        <v>4.3540000000000001</v>
      </c>
      <c r="AI46" s="25">
        <v>0</v>
      </c>
      <c r="AJ46" s="25">
        <v>0.29399999999999998</v>
      </c>
      <c r="AK46" s="25">
        <v>1.5660000000000001</v>
      </c>
      <c r="AL46" s="25">
        <v>2.1219999999999999</v>
      </c>
      <c r="AM46" s="25">
        <v>4.97</v>
      </c>
      <c r="AN46" s="25">
        <v>11.773999999999999</v>
      </c>
      <c r="AO46" s="25">
        <v>0</v>
      </c>
      <c r="AP46" s="25">
        <v>7.8979999999999997</v>
      </c>
      <c r="AQ46" s="25">
        <v>4.8360000000000003</v>
      </c>
      <c r="AR46" s="25">
        <v>0</v>
      </c>
      <c r="AS46" s="25">
        <v>0</v>
      </c>
      <c r="AT46" s="25">
        <v>0</v>
      </c>
      <c r="AU46" s="25">
        <v>4.3250000000000002</v>
      </c>
      <c r="AV46" s="25">
        <v>0</v>
      </c>
      <c r="AW46" s="25">
        <v>3.9079999999999999</v>
      </c>
      <c r="AX46" s="25">
        <v>6.532</v>
      </c>
      <c r="AY46" s="25">
        <v>0</v>
      </c>
      <c r="AZ46" s="25">
        <v>1.899</v>
      </c>
      <c r="BA46" s="25">
        <v>0</v>
      </c>
      <c r="BB46" s="25">
        <v>1.3979999999999999</v>
      </c>
      <c r="BC46" s="25">
        <v>0</v>
      </c>
      <c r="BD46" s="25">
        <v>1.323</v>
      </c>
      <c r="BE46" s="25">
        <v>0</v>
      </c>
      <c r="BF46" s="25">
        <v>38.332000000000001</v>
      </c>
      <c r="BG46" s="25">
        <v>0</v>
      </c>
      <c r="BH46" s="25">
        <v>0</v>
      </c>
      <c r="BI46" s="25">
        <v>26.510999999999999</v>
      </c>
      <c r="BJ46" s="25">
        <v>0</v>
      </c>
      <c r="BK46" s="25">
        <v>0</v>
      </c>
      <c r="BL46" s="25">
        <v>0</v>
      </c>
      <c r="BM46" s="25">
        <v>0</v>
      </c>
      <c r="BN46" s="25">
        <v>0</v>
      </c>
      <c r="BO46" s="25">
        <v>0</v>
      </c>
      <c r="BP46" s="25">
        <v>6.7750000000000004</v>
      </c>
      <c r="BQ46" s="25">
        <v>2.7160000000000002</v>
      </c>
      <c r="BR46" s="25">
        <v>0</v>
      </c>
      <c r="BS46" s="25">
        <v>0</v>
      </c>
      <c r="BT46" s="25">
        <v>0</v>
      </c>
      <c r="BU46" s="25">
        <v>8.5730000000000004</v>
      </c>
      <c r="BV46" s="25">
        <v>0</v>
      </c>
      <c r="BW46" s="25">
        <v>0</v>
      </c>
      <c r="BX46" s="25">
        <v>4.8630000000000004</v>
      </c>
      <c r="BY46" s="25">
        <v>1.661</v>
      </c>
      <c r="BZ46" s="25">
        <v>2.48</v>
      </c>
      <c r="CA46" s="25">
        <v>0</v>
      </c>
      <c r="CB46" s="25">
        <v>0</v>
      </c>
      <c r="CC46" s="25">
        <v>8.5419999999999998</v>
      </c>
      <c r="CD46" s="25">
        <v>10.385999999999999</v>
      </c>
      <c r="CE46" s="25">
        <v>0</v>
      </c>
      <c r="CF46" s="25">
        <v>18.539000000000001</v>
      </c>
      <c r="CG46" s="25">
        <v>26.599</v>
      </c>
      <c r="CH46" s="25">
        <v>0</v>
      </c>
      <c r="CI46" s="25">
        <v>0</v>
      </c>
      <c r="CJ46" s="25">
        <v>0</v>
      </c>
      <c r="CK46" s="25">
        <v>0</v>
      </c>
      <c r="CL46" s="25">
        <v>0</v>
      </c>
      <c r="CM46" s="25">
        <v>0</v>
      </c>
      <c r="CN46" s="25">
        <v>0</v>
      </c>
      <c r="CO46" s="25">
        <v>0</v>
      </c>
      <c r="CP46" s="25">
        <v>0</v>
      </c>
      <c r="CQ46" s="25">
        <v>0</v>
      </c>
      <c r="CR46" s="25">
        <v>0</v>
      </c>
      <c r="CS46" s="25">
        <v>45.210999999999999</v>
      </c>
      <c r="CT46" s="25">
        <v>0</v>
      </c>
      <c r="CU46" s="25">
        <v>0</v>
      </c>
      <c r="CV46" s="25">
        <v>3.0449999999999999</v>
      </c>
      <c r="CW46" s="25">
        <v>0</v>
      </c>
      <c r="CX46" s="25">
        <v>0</v>
      </c>
      <c r="CY46" s="25">
        <v>0</v>
      </c>
      <c r="CZ46" s="25">
        <v>7.8540000000000001</v>
      </c>
      <c r="DA46" s="25">
        <v>2.0979999999999999</v>
      </c>
      <c r="DB46" s="25">
        <v>13.99</v>
      </c>
      <c r="DC46" s="25">
        <v>13.323</v>
      </c>
      <c r="DD46" s="25">
        <v>3.762</v>
      </c>
      <c r="DE46" s="25">
        <v>16.651</v>
      </c>
      <c r="DF46" s="25">
        <v>0</v>
      </c>
      <c r="DG46" s="25">
        <v>7.407</v>
      </c>
      <c r="DH46" s="25">
        <v>36.253</v>
      </c>
      <c r="DI46" s="25">
        <v>0</v>
      </c>
      <c r="DJ46" s="25">
        <v>0</v>
      </c>
      <c r="DK46" s="25">
        <v>2.4380000000000002</v>
      </c>
      <c r="DL46" s="25">
        <v>0</v>
      </c>
      <c r="DM46" s="25">
        <v>16.651</v>
      </c>
      <c r="DN46" s="25">
        <v>0</v>
      </c>
      <c r="DO46" s="25">
        <v>0</v>
      </c>
      <c r="DP46" s="25">
        <v>0</v>
      </c>
      <c r="DQ46" s="25">
        <v>0</v>
      </c>
      <c r="DR46" s="25">
        <v>0</v>
      </c>
      <c r="DS46" s="25">
        <v>0</v>
      </c>
      <c r="DT46" s="25">
        <v>0</v>
      </c>
      <c r="DU46" s="25">
        <v>5.5010000000000003</v>
      </c>
      <c r="DV46" s="25">
        <v>0</v>
      </c>
      <c r="DW46" s="25">
        <v>8.3460000000000001</v>
      </c>
      <c r="DX46" s="25">
        <v>14.747999999999999</v>
      </c>
      <c r="DY46" s="25">
        <v>0</v>
      </c>
      <c r="DZ46" s="25">
        <v>15.013</v>
      </c>
      <c r="EA46" s="25">
        <v>0</v>
      </c>
      <c r="EB46" s="25">
        <v>7.3780000000000001</v>
      </c>
      <c r="EC46" s="25">
        <v>0</v>
      </c>
      <c r="ED46" s="25">
        <v>0</v>
      </c>
      <c r="EE46" s="25">
        <v>0</v>
      </c>
      <c r="EF46" s="25">
        <v>0</v>
      </c>
      <c r="EG46" s="25">
        <v>6.6349999999999998</v>
      </c>
      <c r="EH46" s="25">
        <v>7.3650000000000002</v>
      </c>
      <c r="EI46" s="25">
        <v>0</v>
      </c>
      <c r="EJ46" s="25">
        <v>2.1219999999999999</v>
      </c>
      <c r="EK46" s="25">
        <v>0</v>
      </c>
      <c r="EL46" s="25">
        <v>0</v>
      </c>
      <c r="EM46" s="25">
        <v>5.1740000000000004</v>
      </c>
      <c r="EN46" s="25">
        <v>0</v>
      </c>
      <c r="EO46" s="25">
        <v>5.2930000000000001</v>
      </c>
      <c r="EP46" s="25">
        <v>0</v>
      </c>
      <c r="EQ46" s="25">
        <v>0</v>
      </c>
      <c r="ER46" s="25">
        <v>44.366999999999997</v>
      </c>
      <c r="ES46" s="25">
        <v>10.365</v>
      </c>
      <c r="ET46" s="25">
        <v>0</v>
      </c>
      <c r="EU46" s="25">
        <v>0</v>
      </c>
      <c r="EV46" s="25">
        <v>0</v>
      </c>
      <c r="EW46" s="25"/>
    </row>
    <row r="47" spans="1:153" ht="17.25" customHeight="1" x14ac:dyDescent="0.25">
      <c r="A47" s="25" t="s">
        <v>103</v>
      </c>
      <c r="B47" s="25">
        <v>4.2270000000000003</v>
      </c>
      <c r="C47" s="25">
        <v>2.9279999999999999</v>
      </c>
      <c r="D47" s="25">
        <v>2.2589999999999999</v>
      </c>
      <c r="E47" s="25">
        <v>2.984</v>
      </c>
      <c r="F47" s="25">
        <v>3.274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</row>
    <row r="48" spans="1:153" ht="17.25" customHeight="1" x14ac:dyDescent="0.25">
      <c r="A48" s="25" t="s">
        <v>164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</row>
    <row r="49" spans="1:153" ht="17.25" customHeight="1" x14ac:dyDescent="0.25">
      <c r="A49" s="25" t="s">
        <v>165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</row>
    <row r="50" spans="1:153" ht="17.25" customHeight="1" x14ac:dyDescent="0.25">
      <c r="A50" s="25" t="s">
        <v>166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</row>
    <row r="51" spans="1:153" ht="17.25" customHeight="1" x14ac:dyDescent="0.25">
      <c r="A51" s="25" t="s">
        <v>167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</row>
    <row r="52" spans="1:153" ht="17.25" customHeight="1" x14ac:dyDescent="0.25">
      <c r="A52" s="25" t="s">
        <v>104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</row>
    <row r="53" spans="1:153" ht="17.25" customHeight="1" x14ac:dyDescent="0.25">
      <c r="A53" s="25" t="s">
        <v>168</v>
      </c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</row>
    <row r="54" spans="1:153" ht="17.25" customHeight="1" x14ac:dyDescent="0.25">
      <c r="A54" s="25" t="s">
        <v>105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</row>
    <row r="55" spans="1:153" ht="17.25" customHeight="1" x14ac:dyDescent="0.25">
      <c r="A55" s="25" t="s">
        <v>169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</row>
    <row r="56" spans="1:153" ht="17.25" customHeight="1" x14ac:dyDescent="0.25">
      <c r="A56" s="25" t="s">
        <v>106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</row>
    <row r="57" spans="1:153" ht="17.25" customHeight="1" x14ac:dyDescent="0.25">
      <c r="A57" s="25" t="s">
        <v>170</v>
      </c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</row>
    <row r="58" spans="1:153" ht="17.25" customHeight="1" x14ac:dyDescent="0.25">
      <c r="A58" s="25" t="s">
        <v>171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</row>
    <row r="59" spans="1:153" ht="17.25" customHeight="1" x14ac:dyDescent="0.25">
      <c r="A59" s="25" t="s">
        <v>172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W59" s="25"/>
    </row>
    <row r="60" spans="1:153" ht="17.25" customHeight="1" x14ac:dyDescent="0.25">
      <c r="A60" s="25" t="s">
        <v>173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</row>
    <row r="61" spans="1:153" ht="17.25" customHeight="1" x14ac:dyDescent="0.25">
      <c r="A61" s="25" t="s">
        <v>107</v>
      </c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</row>
    <row r="62" spans="1:153" ht="17.25" customHeight="1" x14ac:dyDescent="0.25">
      <c r="A62" s="25" t="s">
        <v>174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</row>
    <row r="63" spans="1:153" ht="17.25" customHeight="1" x14ac:dyDescent="0.25">
      <c r="A63" s="25" t="s">
        <v>175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</row>
    <row r="64" spans="1:153" ht="17.25" customHeight="1" x14ac:dyDescent="0.25">
      <c r="A64" s="25" t="s">
        <v>176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</row>
    <row r="65" spans="1:153" ht="17.25" customHeight="1" x14ac:dyDescent="0.25">
      <c r="A65" s="25" t="s">
        <v>177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</row>
    <row r="66" spans="1:153" ht="17.25" customHeight="1" x14ac:dyDescent="0.25">
      <c r="A66" s="25" t="s">
        <v>178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</row>
    <row r="67" spans="1:153" ht="17.25" customHeight="1" x14ac:dyDescent="0.25">
      <c r="A67" s="25" t="s">
        <v>179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</row>
    <row r="68" spans="1:153" ht="17.25" customHeight="1" x14ac:dyDescent="0.25">
      <c r="A68" s="25" t="s">
        <v>180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</row>
    <row r="69" spans="1:153" ht="17.25" customHeight="1" x14ac:dyDescent="0.25">
      <c r="A69" s="25" t="s">
        <v>108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</row>
    <row r="70" spans="1:153" ht="17.25" customHeight="1" x14ac:dyDescent="0.25">
      <c r="A70" s="25" t="s">
        <v>181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</row>
    <row r="71" spans="1:153" ht="17.25" customHeight="1" x14ac:dyDescent="0.25">
      <c r="A71" s="25" t="s">
        <v>182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</row>
    <row r="72" spans="1:153" ht="17.25" customHeight="1" x14ac:dyDescent="0.25">
      <c r="A72" s="25" t="s">
        <v>183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</row>
    <row r="73" spans="1:153" ht="17.25" customHeight="1" x14ac:dyDescent="0.25">
      <c r="A73" s="25" t="s">
        <v>184</v>
      </c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</row>
    <row r="74" spans="1:153" ht="17.25" customHeight="1" x14ac:dyDescent="0.25">
      <c r="A74" s="25" t="s">
        <v>185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</row>
    <row r="75" spans="1:153" ht="17.25" customHeight="1" x14ac:dyDescent="0.25">
      <c r="A75" s="25" t="s">
        <v>186</v>
      </c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</row>
    <row r="76" spans="1:153" ht="17.25" customHeight="1" x14ac:dyDescent="0.25">
      <c r="A76" s="25" t="s">
        <v>187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</row>
    <row r="77" spans="1:153" ht="17.25" customHeight="1" x14ac:dyDescent="0.25">
      <c r="A77" s="25" t="s">
        <v>109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</row>
    <row r="78" spans="1:153" ht="17.25" customHeight="1" x14ac:dyDescent="0.25">
      <c r="A78" s="25" t="s">
        <v>188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</row>
    <row r="79" spans="1:153" ht="17.25" customHeight="1" x14ac:dyDescent="0.25">
      <c r="A79" s="25" t="s">
        <v>189</v>
      </c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</row>
    <row r="80" spans="1:153" ht="17.25" customHeight="1" x14ac:dyDescent="0.25">
      <c r="A80" s="25" t="s">
        <v>190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</row>
    <row r="81" spans="1:153" ht="17.25" customHeight="1" x14ac:dyDescent="0.25">
      <c r="A81" s="25" t="s">
        <v>191</v>
      </c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</row>
    <row r="82" spans="1:153" ht="17.25" customHeight="1" x14ac:dyDescent="0.25">
      <c r="A82" s="25" t="s">
        <v>192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</row>
    <row r="83" spans="1:153" ht="17.25" customHeight="1" x14ac:dyDescent="0.25">
      <c r="A83" s="25" t="s">
        <v>193</v>
      </c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</row>
    <row r="84" spans="1:153" ht="17.25" customHeight="1" x14ac:dyDescent="0.25">
      <c r="A84" s="25" t="s">
        <v>110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</row>
    <row r="85" spans="1:153" ht="17.25" customHeight="1" x14ac:dyDescent="0.25">
      <c r="A85" s="25" t="s">
        <v>194</v>
      </c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</row>
    <row r="86" spans="1:153" ht="17.25" customHeight="1" x14ac:dyDescent="0.25">
      <c r="A86" s="25" t="s">
        <v>195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</row>
    <row r="87" spans="1:153" ht="17.25" customHeight="1" x14ac:dyDescent="0.25">
      <c r="A87" s="25" t="s">
        <v>196</v>
      </c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</row>
    <row r="88" spans="1:153" ht="17.25" customHeight="1" x14ac:dyDescent="0.25">
      <c r="A88" s="25" t="s">
        <v>111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</row>
    <row r="89" spans="1:153" ht="17.25" customHeight="1" x14ac:dyDescent="0.25">
      <c r="A89" s="25" t="s">
        <v>197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</row>
    <row r="90" spans="1:153" ht="17.25" customHeight="1" x14ac:dyDescent="0.25">
      <c r="A90" s="25" t="s">
        <v>198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</row>
    <row r="91" spans="1:153" ht="17.25" customHeight="1" x14ac:dyDescent="0.25">
      <c r="A91" s="25" t="s">
        <v>199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</row>
    <row r="92" spans="1:153" ht="17.25" customHeight="1" x14ac:dyDescent="0.25">
      <c r="A92" s="25" t="s">
        <v>200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</row>
    <row r="93" spans="1:153" ht="17.25" customHeight="1" x14ac:dyDescent="0.25">
      <c r="A93" s="25" t="s">
        <v>112</v>
      </c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</row>
    <row r="94" spans="1:153" ht="17.25" customHeight="1" x14ac:dyDescent="0.25">
      <c r="A94" s="25" t="s">
        <v>201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</row>
    <row r="95" spans="1:153" ht="17.25" customHeight="1" x14ac:dyDescent="0.25">
      <c r="A95" s="25" t="s">
        <v>202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</row>
    <row r="96" spans="1:153" ht="17.25" customHeight="1" x14ac:dyDescent="0.25">
      <c r="A96" s="25" t="s">
        <v>203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</row>
    <row r="97" spans="1:153" ht="17.25" customHeight="1" x14ac:dyDescent="0.25">
      <c r="A97" s="25" t="s">
        <v>204</v>
      </c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</row>
    <row r="98" spans="1:153" ht="17.25" customHeight="1" x14ac:dyDescent="0.25">
      <c r="A98" s="25" t="s">
        <v>205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</row>
    <row r="99" spans="1:153" ht="17.25" customHeight="1" x14ac:dyDescent="0.25">
      <c r="A99" s="25" t="s">
        <v>113</v>
      </c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</row>
    <row r="100" spans="1:153" ht="17.25" customHeight="1" x14ac:dyDescent="0.25">
      <c r="A100" s="25" t="s">
        <v>206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</row>
    <row r="101" spans="1:153" ht="17.25" customHeight="1" x14ac:dyDescent="0.25">
      <c r="A101" s="25" t="s">
        <v>207</v>
      </c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</row>
    <row r="102" spans="1:153" ht="17.25" customHeight="1" x14ac:dyDescent="0.25">
      <c r="A102" s="25" t="s">
        <v>208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</row>
    <row r="103" spans="1:153" ht="17.25" customHeight="1" x14ac:dyDescent="0.25">
      <c r="A103" s="25" t="s">
        <v>209</v>
      </c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</row>
    <row r="104" spans="1:153" ht="17.25" customHeight="1" x14ac:dyDescent="0.25">
      <c r="A104" s="25" t="s">
        <v>210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</row>
    <row r="105" spans="1:153" ht="17.25" customHeight="1" x14ac:dyDescent="0.25">
      <c r="A105" s="25" t="s">
        <v>211</v>
      </c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</row>
    <row r="106" spans="1:153" ht="17.25" customHeight="1" x14ac:dyDescent="0.25">
      <c r="A106" s="25" t="s">
        <v>212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</row>
    <row r="107" spans="1:153" ht="17.25" customHeight="1" x14ac:dyDescent="0.25">
      <c r="A107" s="25" t="s">
        <v>213</v>
      </c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</row>
    <row r="108" spans="1:153" ht="17.25" customHeight="1" x14ac:dyDescent="0.25">
      <c r="A108" s="25" t="s">
        <v>214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</row>
    <row r="109" spans="1:153" ht="17.25" customHeight="1" x14ac:dyDescent="0.25">
      <c r="A109" s="25" t="s">
        <v>114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</row>
    <row r="110" spans="1:153" ht="17.25" customHeight="1" x14ac:dyDescent="0.25">
      <c r="A110" s="25" t="s">
        <v>215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</row>
    <row r="111" spans="1:153" ht="17.25" customHeight="1" x14ac:dyDescent="0.25">
      <c r="A111" s="25" t="s">
        <v>115</v>
      </c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</row>
    <row r="112" spans="1:153" ht="17.25" customHeight="1" x14ac:dyDescent="0.25">
      <c r="A112" s="25" t="s">
        <v>116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</row>
    <row r="113" spans="1:153" ht="17.25" customHeight="1" x14ac:dyDescent="0.25">
      <c r="A113" s="25" t="s">
        <v>117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</row>
    <row r="114" spans="1:153" ht="17.25" customHeight="1" x14ac:dyDescent="0.25">
      <c r="A114" s="25" t="s">
        <v>216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</row>
    <row r="115" spans="1:153" ht="17.25" customHeight="1" x14ac:dyDescent="0.25">
      <c r="A115" s="25" t="s">
        <v>118</v>
      </c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</row>
    <row r="116" spans="1:153" ht="17.25" customHeight="1" x14ac:dyDescent="0.25">
      <c r="A116" s="25" t="s">
        <v>217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</row>
    <row r="117" spans="1:153" ht="17.25" customHeight="1" x14ac:dyDescent="0.25">
      <c r="A117" s="25" t="s">
        <v>119</v>
      </c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</row>
    <row r="118" spans="1:153" ht="17.25" customHeight="1" x14ac:dyDescent="0.25">
      <c r="A118" s="25" t="s">
        <v>218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</row>
    <row r="119" spans="1:153" ht="17.25" customHeight="1" x14ac:dyDescent="0.25">
      <c r="A119" s="25" t="s">
        <v>219</v>
      </c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</row>
    <row r="120" spans="1:153" ht="17.25" customHeight="1" x14ac:dyDescent="0.25">
      <c r="A120" s="25" t="s">
        <v>220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</row>
    <row r="121" spans="1:153" ht="17.25" customHeight="1" x14ac:dyDescent="0.25">
      <c r="A121" s="25" t="s">
        <v>221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</row>
    <row r="122" spans="1:153" ht="17.25" customHeight="1" x14ac:dyDescent="0.25">
      <c r="A122" s="25" t="s">
        <v>222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</row>
    <row r="123" spans="1:153" ht="17.25" customHeight="1" x14ac:dyDescent="0.25">
      <c r="A123" s="25" t="s">
        <v>223</v>
      </c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</row>
    <row r="124" spans="1:153" ht="17.25" customHeight="1" x14ac:dyDescent="0.25">
      <c r="A124" s="25" t="s">
        <v>224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</row>
    <row r="125" spans="1:153" ht="17.25" customHeight="1" x14ac:dyDescent="0.25">
      <c r="A125" s="25" t="s">
        <v>225</v>
      </c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</row>
    <row r="126" spans="1:153" ht="17.25" customHeight="1" x14ac:dyDescent="0.25">
      <c r="A126" s="25" t="s">
        <v>226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</row>
    <row r="127" spans="1:153" ht="17.25" customHeight="1" x14ac:dyDescent="0.25">
      <c r="A127" s="25" t="s">
        <v>227</v>
      </c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</row>
    <row r="128" spans="1:153" ht="17.25" customHeight="1" x14ac:dyDescent="0.25">
      <c r="A128" s="25" t="s">
        <v>228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</row>
    <row r="129" spans="1:153" ht="17.25" customHeight="1" x14ac:dyDescent="0.25">
      <c r="A129" s="25" t="s">
        <v>229</v>
      </c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</row>
    <row r="130" spans="1:153" ht="17.25" customHeight="1" x14ac:dyDescent="0.25">
      <c r="A130" s="25" t="s">
        <v>230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</row>
    <row r="131" spans="1:153" ht="17.25" customHeight="1" x14ac:dyDescent="0.25">
      <c r="A131" s="25" t="s">
        <v>231</v>
      </c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</row>
    <row r="132" spans="1:153" ht="17.25" customHeight="1" x14ac:dyDescent="0.25">
      <c r="A132" s="25" t="s">
        <v>120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</row>
    <row r="133" spans="1:153" ht="17.25" customHeight="1" x14ac:dyDescent="0.25">
      <c r="A133" s="25" t="s">
        <v>232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</row>
    <row r="134" spans="1:153" ht="17.25" customHeight="1" x14ac:dyDescent="0.25">
      <c r="A134" s="25" t="s">
        <v>233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</row>
    <row r="135" spans="1:153" ht="17.25" customHeight="1" x14ac:dyDescent="0.25">
      <c r="A135" s="25" t="s">
        <v>234</v>
      </c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</row>
    <row r="136" spans="1:153" ht="17.25" customHeight="1" x14ac:dyDescent="0.25">
      <c r="A136" s="25" t="s">
        <v>235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</row>
    <row r="137" spans="1:153" ht="17.25" customHeight="1" x14ac:dyDescent="0.25">
      <c r="A137" s="25" t="s">
        <v>236</v>
      </c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</row>
    <row r="138" spans="1:153" ht="17.25" customHeight="1" x14ac:dyDescent="0.25">
      <c r="A138" s="25" t="s">
        <v>237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</row>
    <row r="139" spans="1:153" ht="17.25" customHeight="1" x14ac:dyDescent="0.25">
      <c r="A139" s="25" t="s">
        <v>238</v>
      </c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</row>
    <row r="140" spans="1:153" ht="17.25" customHeight="1" x14ac:dyDescent="0.25">
      <c r="A140" s="25" t="s">
        <v>239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</row>
    <row r="141" spans="1:153" ht="17.25" customHeight="1" x14ac:dyDescent="0.25">
      <c r="A141" s="25" t="s">
        <v>240</v>
      </c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</row>
    <row r="142" spans="1:153" ht="17.25" customHeight="1" x14ac:dyDescent="0.25">
      <c r="A142" s="25" t="s">
        <v>121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</row>
    <row r="143" spans="1:153" ht="17.25" customHeight="1" x14ac:dyDescent="0.25">
      <c r="A143" s="25" t="s">
        <v>122</v>
      </c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</row>
    <row r="144" spans="1:153" ht="17.25" customHeight="1" x14ac:dyDescent="0.25">
      <c r="A144" s="25" t="s">
        <v>241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</row>
    <row r="145" spans="1:153" ht="17.25" customHeight="1" x14ac:dyDescent="0.25">
      <c r="A145" s="25" t="s">
        <v>242</v>
      </c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</row>
    <row r="146" spans="1:153" ht="17.25" customHeight="1" x14ac:dyDescent="0.25">
      <c r="A146" s="25" t="s">
        <v>243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</row>
    <row r="147" spans="1:153" ht="17.25" customHeight="1" x14ac:dyDescent="0.25">
      <c r="A147" s="25" t="s">
        <v>123</v>
      </c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</row>
    <row r="148" spans="1:153" ht="17.25" customHeight="1" x14ac:dyDescent="0.25">
      <c r="A148" s="25" t="s">
        <v>244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</row>
    <row r="149" spans="1:153" ht="17.25" customHeight="1" x14ac:dyDescent="0.25">
      <c r="A149" s="25" t="s">
        <v>245</v>
      </c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</row>
    <row r="150" spans="1:153" ht="17.25" customHeight="1" x14ac:dyDescent="0.25">
      <c r="A150" s="25" t="s">
        <v>246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</row>
    <row r="151" spans="1:153" ht="17.25" customHeight="1" x14ac:dyDescent="0.25">
      <c r="A151" s="25" t="s">
        <v>247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</row>
    <row r="152" spans="1:153" ht="17.25" customHeight="1" x14ac:dyDescent="0.25">
      <c r="A152" s="25" t="s">
        <v>248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lDistances">
                <anchor moveWithCells="1" sizeWithCells="1">
                  <from>
                    <xdr:col>101</xdr:col>
                    <xdr:colOff>381000</xdr:colOff>
                    <xdr:row>44</xdr:row>
                    <xdr:rowOff>76200</xdr:rowOff>
                  </from>
                  <to>
                    <xdr:col>111</xdr:col>
                    <xdr:colOff>95250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9"/>
  <sheetViews>
    <sheetView tabSelected="1" topLeftCell="D1" zoomScaleNormal="100" workbookViewId="0">
      <selection activeCell="D24" sqref="D24"/>
    </sheetView>
  </sheetViews>
  <sheetFormatPr defaultRowHeight="15" x14ac:dyDescent="0.25"/>
  <cols>
    <col min="1" max="1" width="0.85546875" style="32" customWidth="1"/>
    <col min="2" max="2" width="5.85546875" customWidth="1"/>
    <col min="3" max="3" width="24.7109375" bestFit="1" customWidth="1"/>
    <col min="4" max="4" width="82.42578125" bestFit="1" customWidth="1"/>
    <col min="5" max="5" width="56.140625" bestFit="1" customWidth="1"/>
    <col min="6" max="6" width="23.140625" bestFit="1" customWidth="1"/>
    <col min="7" max="7" width="94" bestFit="1" customWidth="1"/>
    <col min="8" max="8" width="23.140625" bestFit="1" customWidth="1"/>
  </cols>
  <sheetData>
    <row r="1" spans="1:8" x14ac:dyDescent="0.25">
      <c r="A1" s="36" t="s">
        <v>651</v>
      </c>
      <c r="B1" s="37" t="s">
        <v>454</v>
      </c>
      <c r="C1" s="37" t="s">
        <v>455</v>
      </c>
      <c r="D1" s="37" t="s">
        <v>456</v>
      </c>
      <c r="E1" s="37"/>
      <c r="F1" s="37"/>
      <c r="G1" s="37"/>
      <c r="H1" s="37"/>
    </row>
    <row r="2" spans="1:8" x14ac:dyDescent="0.25">
      <c r="A2" s="38">
        <v>1</v>
      </c>
      <c r="B2" s="37">
        <v>19</v>
      </c>
      <c r="C2" s="37" t="s">
        <v>457</v>
      </c>
      <c r="D2" s="37" t="s">
        <v>458</v>
      </c>
      <c r="E2" s="37" t="s">
        <v>667</v>
      </c>
      <c r="F2" s="37" t="s">
        <v>968</v>
      </c>
      <c r="G2" s="37" t="s">
        <v>660</v>
      </c>
      <c r="H2" s="37"/>
    </row>
    <row r="3" spans="1:8" s="35" customFormat="1" x14ac:dyDescent="0.25">
      <c r="A3" s="39">
        <v>2</v>
      </c>
      <c r="B3" s="40">
        <v>22</v>
      </c>
      <c r="C3" s="40" t="s">
        <v>459</v>
      </c>
      <c r="D3" s="40" t="s">
        <v>460</v>
      </c>
      <c r="E3" s="40" t="s">
        <v>741</v>
      </c>
      <c r="F3" s="40" t="s">
        <v>742</v>
      </c>
      <c r="G3" s="40" t="s">
        <v>652</v>
      </c>
      <c r="H3" s="40"/>
    </row>
    <row r="4" spans="1:8" x14ac:dyDescent="0.25">
      <c r="A4" s="38">
        <v>3</v>
      </c>
      <c r="B4" s="37">
        <v>18</v>
      </c>
      <c r="C4" s="37" t="s">
        <v>461</v>
      </c>
      <c r="D4" s="37" t="s">
        <v>462</v>
      </c>
      <c r="E4" s="37" t="s">
        <v>668</v>
      </c>
      <c r="F4" s="37" t="s">
        <v>653</v>
      </c>
      <c r="G4" s="37" t="s">
        <v>654</v>
      </c>
    </row>
    <row r="5" spans="1:8" s="35" customFormat="1" x14ac:dyDescent="0.25">
      <c r="A5" s="39">
        <v>4</v>
      </c>
      <c r="B5" s="40">
        <v>17</v>
      </c>
      <c r="C5" s="40" t="s">
        <v>463</v>
      </c>
      <c r="D5" s="40" t="s">
        <v>464</v>
      </c>
      <c r="E5" s="40" t="s">
        <v>656</v>
      </c>
      <c r="F5" s="40" t="s">
        <v>655</v>
      </c>
      <c r="G5" s="40"/>
      <c r="H5" s="40"/>
    </row>
    <row r="6" spans="1:8" x14ac:dyDescent="0.25">
      <c r="A6" s="38">
        <v>5</v>
      </c>
      <c r="B6" s="37">
        <v>16</v>
      </c>
      <c r="C6" s="37" t="s">
        <v>465</v>
      </c>
      <c r="D6" s="37" t="s">
        <v>466</v>
      </c>
      <c r="E6" s="37" t="s">
        <v>669</v>
      </c>
      <c r="F6" s="37" t="s">
        <v>657</v>
      </c>
      <c r="G6" s="37" t="s">
        <v>658</v>
      </c>
      <c r="H6" s="37"/>
    </row>
    <row r="7" spans="1:8" x14ac:dyDescent="0.25">
      <c r="A7" s="38">
        <v>6</v>
      </c>
      <c r="B7" s="37">
        <v>3</v>
      </c>
      <c r="C7" s="37" t="s">
        <v>467</v>
      </c>
      <c r="D7" s="37" t="s">
        <v>468</v>
      </c>
      <c r="E7" s="37" t="s">
        <v>664</v>
      </c>
      <c r="F7" s="37" t="s">
        <v>659</v>
      </c>
      <c r="G7" s="46" t="s">
        <v>665</v>
      </c>
      <c r="H7" s="37"/>
    </row>
    <row r="8" spans="1:8" s="35" customFormat="1" x14ac:dyDescent="0.25">
      <c r="A8" s="39">
        <v>7</v>
      </c>
      <c r="B8" s="40">
        <v>9</v>
      </c>
      <c r="C8" s="40" t="s">
        <v>469</v>
      </c>
      <c r="D8" s="40" t="s">
        <v>470</v>
      </c>
      <c r="E8" s="40" t="s">
        <v>670</v>
      </c>
      <c r="F8" s="40" t="s">
        <v>749</v>
      </c>
      <c r="G8" s="40" t="s">
        <v>748</v>
      </c>
      <c r="H8" s="40"/>
    </row>
    <row r="9" spans="1:8" s="35" customFormat="1" x14ac:dyDescent="0.25">
      <c r="A9" s="39">
        <v>8</v>
      </c>
      <c r="B9" s="40">
        <v>21</v>
      </c>
      <c r="C9" s="40" t="s">
        <v>471</v>
      </c>
      <c r="D9" s="40" t="s">
        <v>472</v>
      </c>
      <c r="E9" s="40" t="s">
        <v>661</v>
      </c>
      <c r="F9" s="40" t="s">
        <v>752</v>
      </c>
      <c r="G9" s="40"/>
      <c r="H9" s="40"/>
    </row>
    <row r="10" spans="1:8" x14ac:dyDescent="0.25">
      <c r="A10" s="38">
        <v>9</v>
      </c>
      <c r="B10" s="37">
        <v>28</v>
      </c>
      <c r="C10" s="37" t="s">
        <v>473</v>
      </c>
      <c r="D10" s="37" t="s">
        <v>474</v>
      </c>
      <c r="E10" s="37" t="s">
        <v>666</v>
      </c>
      <c r="F10" s="37" t="s">
        <v>662</v>
      </c>
      <c r="G10" s="37" t="s">
        <v>663</v>
      </c>
      <c r="H10" s="37"/>
    </row>
    <row r="11" spans="1:8" x14ac:dyDescent="0.25">
      <c r="A11" s="38">
        <v>10</v>
      </c>
      <c r="B11" s="37">
        <v>10</v>
      </c>
      <c r="C11" s="37" t="s">
        <v>475</v>
      </c>
      <c r="D11" s="37" t="s">
        <v>476</v>
      </c>
      <c r="E11" s="37" t="s">
        <v>671</v>
      </c>
      <c r="F11" s="37" t="s">
        <v>672</v>
      </c>
      <c r="G11" s="37" t="s">
        <v>673</v>
      </c>
      <c r="H11" s="37"/>
    </row>
    <row r="12" spans="1:8" x14ac:dyDescent="0.25">
      <c r="A12" s="38">
        <v>11</v>
      </c>
      <c r="B12" s="37">
        <v>26</v>
      </c>
      <c r="C12" s="37" t="s">
        <v>477</v>
      </c>
      <c r="D12" s="37" t="s">
        <v>478</v>
      </c>
      <c r="E12" s="37" t="s">
        <v>674</v>
      </c>
      <c r="F12" s="37" t="s">
        <v>675</v>
      </c>
      <c r="G12" s="37" t="s">
        <v>676</v>
      </c>
      <c r="H12" s="37"/>
    </row>
    <row r="13" spans="1:8" x14ac:dyDescent="0.25">
      <c r="A13" s="38">
        <v>12</v>
      </c>
      <c r="B13" s="37">
        <v>6</v>
      </c>
      <c r="C13" s="37" t="s">
        <v>479</v>
      </c>
      <c r="D13" s="37" t="s">
        <v>480</v>
      </c>
      <c r="E13" s="37" t="s">
        <v>677</v>
      </c>
      <c r="F13" s="37" t="s">
        <v>678</v>
      </c>
      <c r="G13" s="37" t="s">
        <v>105</v>
      </c>
      <c r="H13" s="37"/>
    </row>
    <row r="14" spans="1:8" x14ac:dyDescent="0.25">
      <c r="A14" s="38">
        <v>13</v>
      </c>
      <c r="B14" s="37">
        <v>43</v>
      </c>
      <c r="C14" s="37" t="s">
        <v>483</v>
      </c>
      <c r="D14" s="37" t="s">
        <v>484</v>
      </c>
      <c r="E14" s="37" t="s">
        <v>679</v>
      </c>
      <c r="F14" s="37" t="s">
        <v>681</v>
      </c>
      <c r="G14" s="37" t="s">
        <v>680</v>
      </c>
      <c r="H14" s="37"/>
    </row>
    <row r="15" spans="1:8" x14ac:dyDescent="0.25">
      <c r="A15" s="38">
        <v>14</v>
      </c>
      <c r="B15" s="37">
        <v>8</v>
      </c>
      <c r="C15" s="37" t="s">
        <v>485</v>
      </c>
      <c r="D15" s="37" t="s">
        <v>486</v>
      </c>
      <c r="E15" s="37" t="s">
        <v>682</v>
      </c>
      <c r="F15" s="37" t="s">
        <v>683</v>
      </c>
      <c r="G15" s="37" t="s">
        <v>684</v>
      </c>
      <c r="H15" s="37"/>
    </row>
    <row r="16" spans="1:8" x14ac:dyDescent="0.25">
      <c r="A16" s="38">
        <v>15</v>
      </c>
      <c r="B16" s="37">
        <v>15</v>
      </c>
      <c r="C16" s="37" t="s">
        <v>487</v>
      </c>
      <c r="D16" s="37" t="s">
        <v>488</v>
      </c>
      <c r="E16" s="37" t="s">
        <v>685</v>
      </c>
      <c r="F16" s="37" t="s">
        <v>686</v>
      </c>
      <c r="G16" s="37"/>
      <c r="H16" s="37"/>
    </row>
    <row r="17" spans="1:8" s="35" customFormat="1" x14ac:dyDescent="0.25">
      <c r="A17" s="39">
        <v>16</v>
      </c>
      <c r="B17" s="40">
        <v>38</v>
      </c>
      <c r="C17" s="40" t="s">
        <v>489</v>
      </c>
      <c r="D17" s="40" t="s">
        <v>490</v>
      </c>
      <c r="E17" s="40" t="s">
        <v>687</v>
      </c>
      <c r="F17" s="40" t="s">
        <v>689</v>
      </c>
      <c r="G17" s="40" t="s">
        <v>688</v>
      </c>
      <c r="H17" s="40"/>
    </row>
    <row r="18" spans="1:8" x14ac:dyDescent="0.25">
      <c r="A18" s="38">
        <v>17</v>
      </c>
      <c r="B18" s="37">
        <v>29</v>
      </c>
      <c r="C18" s="37" t="s">
        <v>491</v>
      </c>
      <c r="D18" s="37" t="s">
        <v>492</v>
      </c>
      <c r="E18" s="37" t="s">
        <v>690</v>
      </c>
      <c r="F18" s="37" t="s">
        <v>691</v>
      </c>
      <c r="G18" s="37" t="s">
        <v>692</v>
      </c>
      <c r="H18" s="37"/>
    </row>
    <row r="19" spans="1:8" x14ac:dyDescent="0.25">
      <c r="A19" s="38">
        <v>18</v>
      </c>
      <c r="B19" s="37">
        <v>27</v>
      </c>
      <c r="C19" s="37" t="s">
        <v>493</v>
      </c>
      <c r="D19" s="37" t="s">
        <v>494</v>
      </c>
      <c r="E19" s="37" t="s">
        <v>693</v>
      </c>
      <c r="F19" s="37" t="s">
        <v>694</v>
      </c>
      <c r="G19" s="37" t="s">
        <v>695</v>
      </c>
      <c r="H19" s="37"/>
    </row>
    <row r="20" spans="1:8" x14ac:dyDescent="0.25">
      <c r="A20" s="38">
        <v>19</v>
      </c>
      <c r="B20" s="37">
        <v>13</v>
      </c>
      <c r="C20" s="37" t="s">
        <v>495</v>
      </c>
      <c r="D20" s="37" t="s">
        <v>496</v>
      </c>
      <c r="E20" s="37" t="s">
        <v>696</v>
      </c>
      <c r="F20" s="37" t="s">
        <v>697</v>
      </c>
      <c r="G20" s="37" t="s">
        <v>698</v>
      </c>
      <c r="H20" s="37"/>
    </row>
    <row r="21" spans="1:8" s="35" customFormat="1" x14ac:dyDescent="0.25">
      <c r="A21" s="39">
        <v>20</v>
      </c>
      <c r="B21" s="40">
        <v>52</v>
      </c>
      <c r="C21" s="40" t="s">
        <v>497</v>
      </c>
      <c r="D21" s="40" t="s">
        <v>498</v>
      </c>
      <c r="E21" s="40" t="s">
        <v>699</v>
      </c>
      <c r="F21" s="40" t="s">
        <v>701</v>
      </c>
      <c r="G21" s="40"/>
      <c r="H21" s="40"/>
    </row>
    <row r="22" spans="1:8" s="35" customFormat="1" x14ac:dyDescent="0.25">
      <c r="A22" s="39">
        <v>21</v>
      </c>
      <c r="B22" s="40">
        <v>51</v>
      </c>
      <c r="C22" s="40" t="s">
        <v>499</v>
      </c>
      <c r="D22" s="40" t="s">
        <v>500</v>
      </c>
      <c r="E22" s="40" t="s">
        <v>700</v>
      </c>
      <c r="F22" s="40" t="s">
        <v>702</v>
      </c>
      <c r="G22" s="40"/>
      <c r="H22" s="40"/>
    </row>
    <row r="23" spans="1:8" x14ac:dyDescent="0.25">
      <c r="A23" s="38">
        <v>22</v>
      </c>
      <c r="B23" s="37">
        <v>53</v>
      </c>
      <c r="C23" s="37" t="s">
        <v>501</v>
      </c>
      <c r="D23" s="37" t="s">
        <v>502</v>
      </c>
      <c r="E23" s="37" t="s">
        <v>703</v>
      </c>
      <c r="F23" s="37" t="s">
        <v>704</v>
      </c>
      <c r="G23" s="37" t="s">
        <v>705</v>
      </c>
      <c r="H23" s="37"/>
    </row>
    <row r="24" spans="1:8" x14ac:dyDescent="0.25">
      <c r="A24" s="38">
        <v>23</v>
      </c>
      <c r="B24" s="37">
        <v>56</v>
      </c>
      <c r="C24" s="37" t="s">
        <v>503</v>
      </c>
      <c r="D24" s="37" t="s">
        <v>504</v>
      </c>
      <c r="E24" s="37" t="s">
        <v>706</v>
      </c>
      <c r="F24" s="37" t="s">
        <v>708</v>
      </c>
      <c r="G24" s="37" t="s">
        <v>707</v>
      </c>
      <c r="H24" s="37"/>
    </row>
    <row r="25" spans="1:8" x14ac:dyDescent="0.25">
      <c r="A25" s="38">
        <v>24</v>
      </c>
      <c r="B25" s="37">
        <v>59</v>
      </c>
      <c r="C25" s="37" t="s">
        <v>505</v>
      </c>
      <c r="D25" s="37" t="s">
        <v>506</v>
      </c>
      <c r="E25" s="37" t="s">
        <v>709</v>
      </c>
      <c r="F25" s="37" t="s">
        <v>710</v>
      </c>
      <c r="G25" s="37"/>
      <c r="H25" s="37"/>
    </row>
    <row r="26" spans="1:8" x14ac:dyDescent="0.25">
      <c r="A26" s="38">
        <v>25</v>
      </c>
      <c r="B26" s="37">
        <v>75</v>
      </c>
      <c r="C26" s="37" t="s">
        <v>507</v>
      </c>
      <c r="D26" s="37" t="s">
        <v>508</v>
      </c>
      <c r="E26" s="37" t="s">
        <v>711</v>
      </c>
      <c r="F26" s="37" t="s">
        <v>712</v>
      </c>
      <c r="G26" s="37"/>
      <c r="H26" s="37"/>
    </row>
    <row r="27" spans="1:8" x14ac:dyDescent="0.25">
      <c r="A27" s="38">
        <v>26</v>
      </c>
      <c r="B27" s="37">
        <v>77</v>
      </c>
      <c r="C27" s="37" t="s">
        <v>509</v>
      </c>
      <c r="D27" s="37" t="s">
        <v>510</v>
      </c>
      <c r="E27" s="37" t="s">
        <v>713</v>
      </c>
      <c r="F27" s="37" t="s">
        <v>714</v>
      </c>
      <c r="G27" s="37"/>
      <c r="H27" s="37"/>
    </row>
    <row r="28" spans="1:8" x14ac:dyDescent="0.25">
      <c r="A28" s="38">
        <v>27</v>
      </c>
      <c r="B28" s="37">
        <v>69</v>
      </c>
      <c r="C28" s="37" t="s">
        <v>511</v>
      </c>
      <c r="D28" s="37" t="s">
        <v>512</v>
      </c>
      <c r="E28" s="37" t="s">
        <v>715</v>
      </c>
      <c r="F28" s="37" t="s">
        <v>716</v>
      </c>
      <c r="G28" s="37" t="s">
        <v>717</v>
      </c>
      <c r="H28" s="37"/>
    </row>
    <row r="29" spans="1:8" x14ac:dyDescent="0.25">
      <c r="A29" s="38">
        <v>28</v>
      </c>
      <c r="B29" s="37">
        <v>71</v>
      </c>
      <c r="C29" s="37" t="s">
        <v>513</v>
      </c>
      <c r="D29" s="37" t="s">
        <v>514</v>
      </c>
      <c r="E29" s="37" t="s">
        <v>718</v>
      </c>
      <c r="F29" s="37" t="s">
        <v>719</v>
      </c>
      <c r="G29" s="37" t="s">
        <v>736</v>
      </c>
      <c r="H29" s="37"/>
    </row>
    <row r="30" spans="1:8" x14ac:dyDescent="0.25">
      <c r="A30" s="38">
        <v>29</v>
      </c>
      <c r="B30" s="37">
        <v>73</v>
      </c>
      <c r="C30" s="37" t="s">
        <v>515</v>
      </c>
      <c r="D30" s="37" t="s">
        <v>516</v>
      </c>
      <c r="E30" s="37" t="s">
        <v>720</v>
      </c>
      <c r="F30" s="37" t="s">
        <v>722</v>
      </c>
      <c r="G30" s="37" t="s">
        <v>721</v>
      </c>
      <c r="H30" s="37"/>
    </row>
    <row r="31" spans="1:8" s="33" customFormat="1" x14ac:dyDescent="0.25">
      <c r="A31" s="41">
        <v>30</v>
      </c>
      <c r="B31" s="42">
        <v>88</v>
      </c>
      <c r="C31" s="42" t="s">
        <v>517</v>
      </c>
      <c r="D31" s="42" t="s">
        <v>518</v>
      </c>
      <c r="E31" s="42" t="s">
        <v>723</v>
      </c>
      <c r="F31" s="42" t="s">
        <v>724</v>
      </c>
      <c r="G31" s="42" t="s">
        <v>725</v>
      </c>
      <c r="H31" s="42"/>
    </row>
    <row r="32" spans="1:8" s="33" customFormat="1" x14ac:dyDescent="0.25">
      <c r="A32" s="41">
        <v>31</v>
      </c>
      <c r="B32" s="42">
        <v>94</v>
      </c>
      <c r="C32" s="42" t="s">
        <v>519</v>
      </c>
      <c r="D32" s="42" t="s">
        <v>520</v>
      </c>
      <c r="E32" s="42" t="s">
        <v>726</v>
      </c>
      <c r="F32" s="42" t="s">
        <v>727</v>
      </c>
      <c r="G32" s="42" t="s">
        <v>728</v>
      </c>
      <c r="H32" s="42"/>
    </row>
    <row r="33" spans="1:8" s="33" customFormat="1" x14ac:dyDescent="0.25">
      <c r="A33" s="41">
        <v>32</v>
      </c>
      <c r="B33" s="42">
        <v>98</v>
      </c>
      <c r="C33" s="42" t="s">
        <v>521</v>
      </c>
      <c r="D33" s="42" t="s">
        <v>522</v>
      </c>
      <c r="E33" s="42" t="s">
        <v>729</v>
      </c>
      <c r="F33" s="42" t="s">
        <v>730</v>
      </c>
      <c r="G33" s="42" t="s">
        <v>731</v>
      </c>
      <c r="H33" s="42"/>
    </row>
    <row r="34" spans="1:8" x14ac:dyDescent="0.25">
      <c r="A34" s="38">
        <v>33</v>
      </c>
      <c r="B34" s="37">
        <v>103</v>
      </c>
      <c r="C34" s="37" t="s">
        <v>523</v>
      </c>
      <c r="D34" s="37" t="s">
        <v>524</v>
      </c>
      <c r="E34" s="37" t="s">
        <v>305</v>
      </c>
      <c r="F34" s="37" t="s">
        <v>732</v>
      </c>
      <c r="G34" s="37" t="s">
        <v>733</v>
      </c>
      <c r="H34" s="37"/>
    </row>
    <row r="35" spans="1:8" x14ac:dyDescent="0.25">
      <c r="A35" s="38">
        <v>34</v>
      </c>
      <c r="B35" s="37">
        <v>104</v>
      </c>
      <c r="C35" s="37" t="s">
        <v>525</v>
      </c>
      <c r="D35" s="37" t="s">
        <v>526</v>
      </c>
      <c r="E35" s="37" t="s">
        <v>115</v>
      </c>
      <c r="F35" s="37" t="s">
        <v>734</v>
      </c>
      <c r="G35" s="37" t="s">
        <v>735</v>
      </c>
      <c r="H35" s="37"/>
    </row>
    <row r="36" spans="1:8" x14ac:dyDescent="0.25">
      <c r="A36" s="38">
        <v>35</v>
      </c>
      <c r="B36" s="37">
        <v>92</v>
      </c>
      <c r="C36" s="37" t="s">
        <v>527</v>
      </c>
      <c r="D36" s="37" t="s">
        <v>528</v>
      </c>
      <c r="E36" s="37" t="s">
        <v>737</v>
      </c>
      <c r="F36" s="37" t="s">
        <v>738</v>
      </c>
      <c r="G36" s="37" t="s">
        <v>739</v>
      </c>
      <c r="H36" s="37"/>
    </row>
    <row r="37" spans="1:8" s="35" customFormat="1" x14ac:dyDescent="0.25">
      <c r="A37" s="39">
        <v>36</v>
      </c>
      <c r="B37" s="40">
        <v>111</v>
      </c>
      <c r="C37" s="40" t="s">
        <v>529</v>
      </c>
      <c r="D37" s="40" t="s">
        <v>530</v>
      </c>
      <c r="E37" s="40" t="s">
        <v>740</v>
      </c>
      <c r="F37" s="40" t="s">
        <v>742</v>
      </c>
      <c r="G37" s="40" t="s">
        <v>652</v>
      </c>
      <c r="H37" s="40"/>
    </row>
    <row r="38" spans="1:8" s="35" customFormat="1" x14ac:dyDescent="0.25">
      <c r="A38" s="39">
        <v>37</v>
      </c>
      <c r="B38" s="40">
        <v>112</v>
      </c>
      <c r="C38" s="40" t="s">
        <v>531</v>
      </c>
      <c r="D38" s="40" t="s">
        <v>532</v>
      </c>
      <c r="E38" s="40" t="s">
        <v>743</v>
      </c>
      <c r="F38" s="40" t="s">
        <v>744</v>
      </c>
      <c r="G38" s="40" t="s">
        <v>745</v>
      </c>
      <c r="H38" s="40"/>
    </row>
    <row r="39" spans="1:8" s="35" customFormat="1" x14ac:dyDescent="0.25">
      <c r="A39" s="39">
        <v>38</v>
      </c>
      <c r="B39" s="40">
        <v>114</v>
      </c>
      <c r="C39" s="40" t="s">
        <v>533</v>
      </c>
      <c r="D39" s="40" t="s">
        <v>530</v>
      </c>
      <c r="E39" s="40" t="s">
        <v>746</v>
      </c>
      <c r="F39" s="40" t="s">
        <v>747</v>
      </c>
      <c r="G39" s="40" t="s">
        <v>748</v>
      </c>
      <c r="H39" s="40"/>
    </row>
    <row r="40" spans="1:8" s="35" customFormat="1" x14ac:dyDescent="0.25">
      <c r="A40" s="39">
        <v>39</v>
      </c>
      <c r="B40" s="40">
        <v>116</v>
      </c>
      <c r="C40" s="40" t="s">
        <v>534</v>
      </c>
      <c r="D40" s="40" t="s">
        <v>532</v>
      </c>
      <c r="E40" s="40" t="s">
        <v>750</v>
      </c>
      <c r="F40" s="40" t="s">
        <v>751</v>
      </c>
      <c r="G40" s="40"/>
      <c r="H40" s="40"/>
    </row>
    <row r="41" spans="1:8" s="35" customFormat="1" x14ac:dyDescent="0.25">
      <c r="A41" s="39">
        <v>40</v>
      </c>
      <c r="B41" s="40">
        <v>118</v>
      </c>
      <c r="C41" s="40" t="s">
        <v>535</v>
      </c>
      <c r="D41" s="40" t="s">
        <v>532</v>
      </c>
      <c r="E41" s="40" t="s">
        <v>753</v>
      </c>
      <c r="F41" s="40" t="s">
        <v>689</v>
      </c>
      <c r="G41" s="40"/>
      <c r="H41" s="40"/>
    </row>
    <row r="42" spans="1:8" x14ac:dyDescent="0.25">
      <c r="A42" s="38">
        <v>41</v>
      </c>
      <c r="B42" s="37">
        <v>123</v>
      </c>
      <c r="C42" s="37" t="s">
        <v>536</v>
      </c>
      <c r="D42" s="37" t="s">
        <v>537</v>
      </c>
      <c r="E42" s="43" t="s">
        <v>754</v>
      </c>
      <c r="F42" s="37" t="s">
        <v>755</v>
      </c>
      <c r="G42" s="37"/>
      <c r="H42" s="37"/>
    </row>
    <row r="43" spans="1:8" x14ac:dyDescent="0.25">
      <c r="A43" s="38">
        <v>42</v>
      </c>
      <c r="B43" s="37">
        <v>139</v>
      </c>
      <c r="C43" s="37" t="s">
        <v>538</v>
      </c>
      <c r="D43" s="37" t="s">
        <v>539</v>
      </c>
      <c r="E43" s="43" t="s">
        <v>756</v>
      </c>
      <c r="F43" s="37" t="s">
        <v>757</v>
      </c>
      <c r="G43" s="37" t="s">
        <v>758</v>
      </c>
      <c r="H43" s="37"/>
    </row>
    <row r="44" spans="1:8" x14ac:dyDescent="0.25">
      <c r="A44" s="38">
        <v>43</v>
      </c>
      <c r="B44" s="37">
        <v>137</v>
      </c>
      <c r="C44" s="37" t="s">
        <v>540</v>
      </c>
      <c r="D44" s="37" t="s">
        <v>541</v>
      </c>
      <c r="E44" s="37" t="s">
        <v>759</v>
      </c>
      <c r="F44" s="37" t="s">
        <v>760</v>
      </c>
      <c r="G44" s="37"/>
      <c r="H44" s="37"/>
    </row>
    <row r="45" spans="1:8" x14ac:dyDescent="0.25">
      <c r="A45" s="38">
        <v>44</v>
      </c>
      <c r="B45" s="37">
        <v>138</v>
      </c>
      <c r="C45" s="37" t="s">
        <v>425</v>
      </c>
      <c r="D45" s="37" t="s">
        <v>542</v>
      </c>
      <c r="E45" s="37" t="s">
        <v>320</v>
      </c>
      <c r="F45" s="37" t="s">
        <v>761</v>
      </c>
      <c r="G45" s="37" t="s">
        <v>762</v>
      </c>
      <c r="H45" s="37"/>
    </row>
    <row r="46" spans="1:8" x14ac:dyDescent="0.25">
      <c r="A46" s="38">
        <v>45</v>
      </c>
      <c r="B46" s="37">
        <v>140</v>
      </c>
      <c r="C46" s="37" t="s">
        <v>426</v>
      </c>
      <c r="D46" s="37" t="s">
        <v>543</v>
      </c>
      <c r="E46" s="37" t="s">
        <v>321</v>
      </c>
      <c r="F46" s="37" t="s">
        <v>763</v>
      </c>
      <c r="G46" s="37" t="s">
        <v>764</v>
      </c>
      <c r="H46" s="37"/>
    </row>
    <row r="47" spans="1:8" x14ac:dyDescent="0.25">
      <c r="A47" s="38">
        <v>46</v>
      </c>
      <c r="B47" s="37">
        <v>141</v>
      </c>
      <c r="C47" s="37" t="s">
        <v>427</v>
      </c>
      <c r="D47" s="37" t="s">
        <v>544</v>
      </c>
      <c r="E47" s="37" t="s">
        <v>120</v>
      </c>
      <c r="F47" s="37" t="s">
        <v>765</v>
      </c>
      <c r="G47" s="37" t="s">
        <v>766</v>
      </c>
      <c r="H47" s="37"/>
    </row>
    <row r="48" spans="1:8" x14ac:dyDescent="0.25">
      <c r="A48" s="38">
        <v>47</v>
      </c>
      <c r="B48" s="37">
        <v>143</v>
      </c>
      <c r="C48" s="37" t="s">
        <v>428</v>
      </c>
      <c r="D48" s="37" t="s">
        <v>545</v>
      </c>
      <c r="E48" s="37" t="s">
        <v>322</v>
      </c>
      <c r="F48" s="37" t="s">
        <v>767</v>
      </c>
      <c r="G48" s="37" t="s">
        <v>768</v>
      </c>
      <c r="H48" s="37"/>
    </row>
    <row r="49" spans="1:8" x14ac:dyDescent="0.25">
      <c r="A49" s="38">
        <v>48</v>
      </c>
      <c r="B49" s="37">
        <v>144</v>
      </c>
      <c r="C49" s="37" t="s">
        <v>429</v>
      </c>
      <c r="D49" s="37" t="s">
        <v>546</v>
      </c>
      <c r="E49" s="37" t="s">
        <v>323</v>
      </c>
      <c r="F49" s="37" t="s">
        <v>769</v>
      </c>
      <c r="G49" s="37" t="s">
        <v>770</v>
      </c>
      <c r="H49" s="37"/>
    </row>
    <row r="50" spans="1:8" x14ac:dyDescent="0.25">
      <c r="A50" s="38">
        <v>49</v>
      </c>
      <c r="B50" s="37">
        <v>145</v>
      </c>
      <c r="C50" s="37" t="s">
        <v>430</v>
      </c>
      <c r="D50" s="37" t="s">
        <v>547</v>
      </c>
      <c r="E50" s="37" t="s">
        <v>324</v>
      </c>
      <c r="F50" s="37" t="s">
        <v>771</v>
      </c>
      <c r="G50" s="37" t="s">
        <v>772</v>
      </c>
      <c r="H50" s="37"/>
    </row>
    <row r="51" spans="1:8" x14ac:dyDescent="0.25">
      <c r="A51" s="38">
        <v>50</v>
      </c>
      <c r="B51" s="37">
        <v>147</v>
      </c>
      <c r="C51" s="37" t="s">
        <v>431</v>
      </c>
      <c r="D51" s="37" t="s">
        <v>548</v>
      </c>
      <c r="E51" s="37" t="s">
        <v>325</v>
      </c>
      <c r="F51" s="37" t="s">
        <v>774</v>
      </c>
      <c r="G51" s="37" t="s">
        <v>773</v>
      </c>
      <c r="H51" s="37"/>
    </row>
    <row r="52" spans="1:8" x14ac:dyDescent="0.25">
      <c r="A52" s="38">
        <v>51</v>
      </c>
      <c r="B52" s="37">
        <v>148</v>
      </c>
      <c r="C52" s="37" t="s">
        <v>432</v>
      </c>
      <c r="D52" s="37" t="s">
        <v>549</v>
      </c>
      <c r="E52" s="37" t="s">
        <v>326</v>
      </c>
      <c r="F52" s="37" t="s">
        <v>775</v>
      </c>
      <c r="G52" s="37" t="s">
        <v>776</v>
      </c>
      <c r="H52" s="37"/>
    </row>
    <row r="53" spans="1:8" s="35" customFormat="1" x14ac:dyDescent="0.25">
      <c r="A53" s="39">
        <v>52</v>
      </c>
      <c r="B53" s="40">
        <v>149</v>
      </c>
      <c r="C53" s="40" t="s">
        <v>433</v>
      </c>
      <c r="D53" s="40" t="s">
        <v>550</v>
      </c>
      <c r="E53" s="40" t="s">
        <v>777</v>
      </c>
      <c r="F53" s="40" t="s">
        <v>779</v>
      </c>
      <c r="G53" s="40" t="s">
        <v>778</v>
      </c>
      <c r="H53" s="40"/>
    </row>
    <row r="54" spans="1:8" s="35" customFormat="1" x14ac:dyDescent="0.25">
      <c r="A54" s="39">
        <v>53</v>
      </c>
      <c r="B54" s="40">
        <v>150</v>
      </c>
      <c r="C54" s="40" t="s">
        <v>434</v>
      </c>
      <c r="D54" s="40" t="s">
        <v>550</v>
      </c>
      <c r="E54" s="40" t="s">
        <v>780</v>
      </c>
      <c r="F54" s="40" t="s">
        <v>779</v>
      </c>
      <c r="G54" s="40" t="s">
        <v>778</v>
      </c>
      <c r="H54" s="40"/>
    </row>
    <row r="55" spans="1:8" x14ac:dyDescent="0.25">
      <c r="A55" s="38">
        <v>54</v>
      </c>
      <c r="B55" s="37">
        <v>152</v>
      </c>
      <c r="C55" s="37" t="s">
        <v>435</v>
      </c>
      <c r="D55" s="37" t="s">
        <v>551</v>
      </c>
      <c r="E55" s="37" t="s">
        <v>327</v>
      </c>
      <c r="F55" s="37" t="s">
        <v>781</v>
      </c>
      <c r="G55" s="37" t="s">
        <v>782</v>
      </c>
      <c r="H55" s="37"/>
    </row>
    <row r="56" spans="1:8" x14ac:dyDescent="0.25">
      <c r="A56" s="38">
        <v>55</v>
      </c>
      <c r="B56" s="37">
        <v>153</v>
      </c>
      <c r="C56" s="37" t="s">
        <v>436</v>
      </c>
      <c r="D56" s="37" t="s">
        <v>552</v>
      </c>
      <c r="E56" s="37" t="s">
        <v>328</v>
      </c>
      <c r="F56" s="37" t="s">
        <v>783</v>
      </c>
      <c r="G56" s="37"/>
      <c r="H56" s="37"/>
    </row>
    <row r="57" spans="1:8" x14ac:dyDescent="0.25">
      <c r="A57" s="38">
        <v>56</v>
      </c>
      <c r="B57" s="37">
        <v>154</v>
      </c>
      <c r="C57" s="37" t="s">
        <v>437</v>
      </c>
      <c r="D57" s="37" t="s">
        <v>553</v>
      </c>
      <c r="E57" s="37" t="s">
        <v>329</v>
      </c>
      <c r="F57" s="37" t="s">
        <v>784</v>
      </c>
      <c r="G57" s="37" t="s">
        <v>785</v>
      </c>
      <c r="H57" s="37"/>
    </row>
    <row r="58" spans="1:8" x14ac:dyDescent="0.25">
      <c r="A58" s="38">
        <v>57</v>
      </c>
      <c r="B58" s="37">
        <v>155</v>
      </c>
      <c r="C58" s="37" t="s">
        <v>438</v>
      </c>
      <c r="D58" s="37" t="s">
        <v>554</v>
      </c>
      <c r="E58" s="37" t="s">
        <v>121</v>
      </c>
      <c r="F58" s="37" t="s">
        <v>786</v>
      </c>
      <c r="G58" s="37" t="s">
        <v>787</v>
      </c>
      <c r="H58" s="37"/>
    </row>
    <row r="59" spans="1:8" x14ac:dyDescent="0.25">
      <c r="A59" s="38">
        <v>58</v>
      </c>
      <c r="B59" s="37">
        <v>156</v>
      </c>
      <c r="C59" s="37" t="s">
        <v>439</v>
      </c>
      <c r="D59" s="37" t="s">
        <v>555</v>
      </c>
      <c r="E59" s="37" t="s">
        <v>122</v>
      </c>
      <c r="F59" s="37" t="s">
        <v>788</v>
      </c>
      <c r="G59" s="37" t="s">
        <v>789</v>
      </c>
      <c r="H59" s="37"/>
    </row>
    <row r="60" spans="1:8" x14ac:dyDescent="0.25">
      <c r="A60" s="38">
        <v>59</v>
      </c>
      <c r="B60" s="37">
        <v>157</v>
      </c>
      <c r="C60" s="37" t="s">
        <v>440</v>
      </c>
      <c r="D60" s="37" t="s">
        <v>556</v>
      </c>
      <c r="E60" s="37" t="s">
        <v>330</v>
      </c>
      <c r="F60" s="37" t="s">
        <v>790</v>
      </c>
      <c r="G60" s="37" t="s">
        <v>791</v>
      </c>
      <c r="H60" s="37"/>
    </row>
    <row r="61" spans="1:8" x14ac:dyDescent="0.25">
      <c r="A61" s="38">
        <v>60</v>
      </c>
      <c r="B61" s="37">
        <v>158</v>
      </c>
      <c r="C61" s="37" t="s">
        <v>441</v>
      </c>
      <c r="D61" s="37" t="s">
        <v>557</v>
      </c>
      <c r="E61" s="37" t="s">
        <v>792</v>
      </c>
      <c r="F61" s="37" t="s">
        <v>793</v>
      </c>
      <c r="G61" s="37" t="s">
        <v>794</v>
      </c>
      <c r="H61" s="37"/>
    </row>
    <row r="62" spans="1:8" s="35" customFormat="1" x14ac:dyDescent="0.25">
      <c r="A62" s="39">
        <v>61</v>
      </c>
      <c r="B62" s="40">
        <v>159</v>
      </c>
      <c r="C62" s="40" t="s">
        <v>442</v>
      </c>
      <c r="D62" s="40" t="s">
        <v>558</v>
      </c>
      <c r="E62" s="40" t="s">
        <v>795</v>
      </c>
      <c r="F62" s="40" t="s">
        <v>797</v>
      </c>
      <c r="G62" s="40" t="s">
        <v>796</v>
      </c>
    </row>
    <row r="63" spans="1:8" x14ac:dyDescent="0.25">
      <c r="A63" s="38">
        <v>62</v>
      </c>
      <c r="B63" s="37">
        <v>160</v>
      </c>
      <c r="C63" s="37" t="s">
        <v>443</v>
      </c>
      <c r="D63" s="37" t="s">
        <v>559</v>
      </c>
      <c r="E63" s="37" t="s">
        <v>123</v>
      </c>
      <c r="F63" s="37" t="s">
        <v>798</v>
      </c>
      <c r="G63" s="37" t="s">
        <v>799</v>
      </c>
      <c r="H63" s="37"/>
    </row>
    <row r="64" spans="1:8" s="33" customFormat="1" x14ac:dyDescent="0.25">
      <c r="A64" s="41">
        <v>63</v>
      </c>
      <c r="B64" s="42">
        <v>163</v>
      </c>
      <c r="C64" s="42" t="s">
        <v>444</v>
      </c>
      <c r="D64" s="42" t="s">
        <v>560</v>
      </c>
      <c r="E64" s="42" t="s">
        <v>331</v>
      </c>
      <c r="F64" s="42" t="s">
        <v>800</v>
      </c>
      <c r="G64" s="42" t="s">
        <v>801</v>
      </c>
      <c r="H64" s="42"/>
    </row>
    <row r="65" spans="1:8" x14ac:dyDescent="0.25">
      <c r="A65" s="38">
        <v>64</v>
      </c>
      <c r="B65" s="37">
        <v>161</v>
      </c>
      <c r="C65" s="37" t="s">
        <v>445</v>
      </c>
      <c r="D65" s="37" t="s">
        <v>561</v>
      </c>
      <c r="E65" s="37" t="s">
        <v>332</v>
      </c>
      <c r="F65" s="37" t="s">
        <v>802</v>
      </c>
      <c r="G65" s="44" t="s">
        <v>803</v>
      </c>
      <c r="H65" s="37"/>
    </row>
    <row r="66" spans="1:8" s="33" customFormat="1" x14ac:dyDescent="0.25">
      <c r="A66" s="41">
        <v>65</v>
      </c>
      <c r="B66" s="42">
        <v>162</v>
      </c>
      <c r="C66" s="42" t="s">
        <v>446</v>
      </c>
      <c r="D66" s="42" t="s">
        <v>562</v>
      </c>
      <c r="E66" s="42" t="s">
        <v>333</v>
      </c>
      <c r="F66" s="42" t="s">
        <v>804</v>
      </c>
      <c r="G66" s="42" t="s">
        <v>805</v>
      </c>
      <c r="H66" s="42"/>
    </row>
    <row r="67" spans="1:8" x14ac:dyDescent="0.25">
      <c r="A67" s="38">
        <v>66</v>
      </c>
      <c r="B67" s="37">
        <v>164</v>
      </c>
      <c r="C67" s="37" t="s">
        <v>447</v>
      </c>
      <c r="D67" s="37" t="s">
        <v>563</v>
      </c>
      <c r="E67" s="37" t="s">
        <v>334</v>
      </c>
      <c r="F67" s="37" t="s">
        <v>807</v>
      </c>
      <c r="G67" s="37" t="s">
        <v>806</v>
      </c>
      <c r="H67" s="37"/>
    </row>
    <row r="68" spans="1:8" s="34" customFormat="1" x14ac:dyDescent="0.25">
      <c r="A68" s="45">
        <v>67</v>
      </c>
      <c r="B68" s="43">
        <v>165</v>
      </c>
      <c r="C68" s="43" t="s">
        <v>448</v>
      </c>
      <c r="D68" s="43" t="s">
        <v>564</v>
      </c>
      <c r="E68" s="43" t="s">
        <v>808</v>
      </c>
      <c r="F68" s="43" t="s">
        <v>809</v>
      </c>
      <c r="G68" s="43"/>
      <c r="H68" s="43"/>
    </row>
    <row r="69" spans="1:8" s="33" customFormat="1" x14ac:dyDescent="0.25">
      <c r="A69" s="41">
        <v>68</v>
      </c>
      <c r="B69" s="42">
        <v>166</v>
      </c>
      <c r="C69" s="42" t="s">
        <v>449</v>
      </c>
      <c r="D69" s="42" t="s">
        <v>565</v>
      </c>
      <c r="E69" s="42" t="s">
        <v>335</v>
      </c>
      <c r="F69" s="42" t="s">
        <v>810</v>
      </c>
      <c r="G69" s="42"/>
      <c r="H69" s="42"/>
    </row>
    <row r="70" spans="1:8" s="33" customFormat="1" x14ac:dyDescent="0.25">
      <c r="A70" s="41">
        <v>69</v>
      </c>
      <c r="B70" s="42">
        <v>167</v>
      </c>
      <c r="C70" s="42" t="s">
        <v>450</v>
      </c>
      <c r="D70" s="42" t="s">
        <v>566</v>
      </c>
      <c r="E70" s="42" t="s">
        <v>336</v>
      </c>
      <c r="F70" s="42" t="s">
        <v>812</v>
      </c>
      <c r="G70" s="42" t="s">
        <v>813</v>
      </c>
      <c r="H70" s="42"/>
    </row>
    <row r="71" spans="1:8" s="33" customFormat="1" x14ac:dyDescent="0.25">
      <c r="A71" s="41">
        <v>70</v>
      </c>
      <c r="B71" s="42">
        <v>168</v>
      </c>
      <c r="C71" s="42" t="s">
        <v>451</v>
      </c>
      <c r="D71" s="42" t="s">
        <v>567</v>
      </c>
      <c r="E71" s="42" t="s">
        <v>337</v>
      </c>
      <c r="F71" s="42" t="s">
        <v>814</v>
      </c>
      <c r="G71" s="42" t="s">
        <v>813</v>
      </c>
      <c r="H71" s="42"/>
    </row>
    <row r="72" spans="1:8" s="33" customFormat="1" x14ac:dyDescent="0.25">
      <c r="A72" s="41">
        <v>71</v>
      </c>
      <c r="B72" s="42">
        <v>134</v>
      </c>
      <c r="C72" s="42" t="s">
        <v>452</v>
      </c>
      <c r="D72" s="42" t="s">
        <v>568</v>
      </c>
      <c r="E72" s="42" t="s">
        <v>317</v>
      </c>
      <c r="F72" s="42" t="s">
        <v>815</v>
      </c>
      <c r="G72" s="42" t="s">
        <v>816</v>
      </c>
      <c r="H72" s="42"/>
    </row>
    <row r="73" spans="1:8" s="33" customFormat="1" x14ac:dyDescent="0.25">
      <c r="A73" s="41">
        <v>72</v>
      </c>
      <c r="B73" s="42">
        <v>124</v>
      </c>
      <c r="C73" s="42" t="s">
        <v>413</v>
      </c>
      <c r="D73" s="42" t="s">
        <v>569</v>
      </c>
      <c r="E73" s="42" t="s">
        <v>308</v>
      </c>
      <c r="F73" s="42" t="s">
        <v>817</v>
      </c>
      <c r="G73" s="42" t="s">
        <v>818</v>
      </c>
      <c r="H73" s="42"/>
    </row>
    <row r="74" spans="1:8" s="33" customFormat="1" x14ac:dyDescent="0.25">
      <c r="A74" s="41">
        <v>73</v>
      </c>
      <c r="B74" s="42">
        <v>125</v>
      </c>
      <c r="C74" s="42" t="s">
        <v>414</v>
      </c>
      <c r="D74" s="42" t="s">
        <v>570</v>
      </c>
      <c r="E74" s="42" t="s">
        <v>309</v>
      </c>
      <c r="F74" s="42" t="s">
        <v>819</v>
      </c>
      <c r="G74" s="42"/>
      <c r="H74" s="42"/>
    </row>
    <row r="75" spans="1:8" s="33" customFormat="1" x14ac:dyDescent="0.25">
      <c r="A75" s="41">
        <v>74</v>
      </c>
      <c r="B75" s="42">
        <v>126</v>
      </c>
      <c r="C75" s="42" t="s">
        <v>415</v>
      </c>
      <c r="D75" s="42" t="s">
        <v>571</v>
      </c>
      <c r="E75" s="42" t="s">
        <v>310</v>
      </c>
      <c r="F75" s="42" t="s">
        <v>820</v>
      </c>
      <c r="G75" s="42" t="s">
        <v>821</v>
      </c>
      <c r="H75" s="42"/>
    </row>
    <row r="76" spans="1:8" s="33" customFormat="1" x14ac:dyDescent="0.25">
      <c r="A76" s="41">
        <v>75</v>
      </c>
      <c r="B76" s="42">
        <v>127</v>
      </c>
      <c r="C76" s="42" t="s">
        <v>416</v>
      </c>
      <c r="D76" s="42" t="s">
        <v>572</v>
      </c>
      <c r="E76" s="42" t="s">
        <v>811</v>
      </c>
      <c r="F76" s="42" t="s">
        <v>822</v>
      </c>
      <c r="G76" s="42" t="s">
        <v>813</v>
      </c>
      <c r="H76" s="42"/>
    </row>
    <row r="77" spans="1:8" x14ac:dyDescent="0.25">
      <c r="A77" s="38">
        <v>76</v>
      </c>
      <c r="B77" s="37">
        <v>128</v>
      </c>
      <c r="C77" s="37" t="s">
        <v>417</v>
      </c>
      <c r="D77" s="37" t="s">
        <v>573</v>
      </c>
      <c r="E77" s="37" t="s">
        <v>311</v>
      </c>
      <c r="F77" s="37" t="s">
        <v>823</v>
      </c>
      <c r="G77" s="37"/>
      <c r="H77" s="37"/>
    </row>
    <row r="78" spans="1:8" x14ac:dyDescent="0.25">
      <c r="A78" s="38">
        <v>77</v>
      </c>
      <c r="B78" s="37">
        <v>129</v>
      </c>
      <c r="C78" s="37" t="s">
        <v>418</v>
      </c>
      <c r="D78" s="37" t="s">
        <v>574</v>
      </c>
      <c r="E78" s="37" t="s">
        <v>312</v>
      </c>
      <c r="F78" s="37" t="s">
        <v>824</v>
      </c>
      <c r="G78" s="47" t="s">
        <v>825</v>
      </c>
      <c r="H78" s="37"/>
    </row>
    <row r="79" spans="1:8" x14ac:dyDescent="0.25">
      <c r="A79" s="38">
        <v>78</v>
      </c>
      <c r="B79" s="37">
        <v>130</v>
      </c>
      <c r="C79" s="37" t="s">
        <v>419</v>
      </c>
      <c r="D79" s="37" t="s">
        <v>575</v>
      </c>
      <c r="E79" s="37" t="s">
        <v>313</v>
      </c>
      <c r="F79" s="37" t="s">
        <v>826</v>
      </c>
      <c r="G79" s="47" t="s">
        <v>827</v>
      </c>
      <c r="H79" s="37"/>
    </row>
    <row r="80" spans="1:8" s="33" customFormat="1" x14ac:dyDescent="0.25">
      <c r="A80" s="41">
        <v>79</v>
      </c>
      <c r="B80" s="42">
        <v>131</v>
      </c>
      <c r="C80" s="42" t="s">
        <v>420</v>
      </c>
      <c r="D80" s="42" t="s">
        <v>576</v>
      </c>
      <c r="E80" s="42" t="s">
        <v>314</v>
      </c>
      <c r="F80" s="42" t="s">
        <v>828</v>
      </c>
      <c r="G80" s="42"/>
      <c r="H80" s="42"/>
    </row>
    <row r="81" spans="1:8" s="33" customFormat="1" x14ac:dyDescent="0.25">
      <c r="A81" s="41">
        <v>80</v>
      </c>
      <c r="B81" s="42">
        <v>132</v>
      </c>
      <c r="C81" s="42" t="s">
        <v>421</v>
      </c>
      <c r="D81" s="42" t="s">
        <v>577</v>
      </c>
      <c r="E81" s="42" t="s">
        <v>315</v>
      </c>
      <c r="F81" s="42" t="s">
        <v>829</v>
      </c>
      <c r="G81" s="42" t="s">
        <v>830</v>
      </c>
      <c r="H81" s="42"/>
    </row>
    <row r="82" spans="1:8" s="33" customFormat="1" x14ac:dyDescent="0.25">
      <c r="A82" s="41">
        <v>81</v>
      </c>
      <c r="B82" s="42">
        <v>133</v>
      </c>
      <c r="C82" s="42" t="s">
        <v>422</v>
      </c>
      <c r="D82" s="42" t="s">
        <v>578</v>
      </c>
      <c r="E82" s="42" t="s">
        <v>316</v>
      </c>
      <c r="F82" s="42" t="s">
        <v>831</v>
      </c>
      <c r="G82" s="42"/>
      <c r="H82" s="42"/>
    </row>
    <row r="83" spans="1:8" s="33" customFormat="1" x14ac:dyDescent="0.25">
      <c r="A83" s="41">
        <v>82</v>
      </c>
      <c r="B83" s="42">
        <v>135</v>
      </c>
      <c r="C83" s="42" t="s">
        <v>423</v>
      </c>
      <c r="D83" s="42" t="s">
        <v>579</v>
      </c>
      <c r="E83" s="42" t="s">
        <v>318</v>
      </c>
      <c r="F83" s="42" t="s">
        <v>832</v>
      </c>
      <c r="G83" s="42"/>
      <c r="H83" s="42"/>
    </row>
    <row r="84" spans="1:8" s="33" customFormat="1" x14ac:dyDescent="0.25">
      <c r="A84" s="41">
        <v>83</v>
      </c>
      <c r="B84" s="42">
        <v>136</v>
      </c>
      <c r="C84" s="42" t="s">
        <v>424</v>
      </c>
      <c r="D84" s="42" t="s">
        <v>580</v>
      </c>
      <c r="E84" s="42" t="s">
        <v>319</v>
      </c>
      <c r="F84" s="42" t="s">
        <v>833</v>
      </c>
      <c r="G84" s="42"/>
      <c r="H84" s="42"/>
    </row>
    <row r="85" spans="1:8" x14ac:dyDescent="0.25">
      <c r="A85" s="38">
        <v>84</v>
      </c>
      <c r="B85" s="37">
        <v>119</v>
      </c>
      <c r="C85" s="37" t="s">
        <v>409</v>
      </c>
      <c r="D85" s="37" t="s">
        <v>530</v>
      </c>
      <c r="E85" s="37" t="s">
        <v>834</v>
      </c>
      <c r="F85" s="37" t="s">
        <v>835</v>
      </c>
      <c r="G85" s="37"/>
      <c r="H85" s="37"/>
    </row>
    <row r="86" spans="1:8" x14ac:dyDescent="0.25">
      <c r="A86" s="38">
        <v>85</v>
      </c>
      <c r="B86" s="37">
        <v>120</v>
      </c>
      <c r="C86" s="37" t="s">
        <v>410</v>
      </c>
      <c r="D86" s="37" t="s">
        <v>530</v>
      </c>
      <c r="E86" s="37" t="s">
        <v>836</v>
      </c>
      <c r="F86" s="37" t="s">
        <v>837</v>
      </c>
      <c r="G86" s="37"/>
      <c r="H86" s="37"/>
    </row>
    <row r="87" spans="1:8" s="33" customFormat="1" x14ac:dyDescent="0.25">
      <c r="A87" s="41">
        <v>86</v>
      </c>
      <c r="B87" s="42">
        <v>121</v>
      </c>
      <c r="C87" s="42" t="s">
        <v>411</v>
      </c>
      <c r="D87" s="42" t="s">
        <v>581</v>
      </c>
      <c r="E87" s="42" t="s">
        <v>119</v>
      </c>
      <c r="F87" s="42" t="s">
        <v>838</v>
      </c>
      <c r="G87" s="48" t="s">
        <v>839</v>
      </c>
      <c r="H87" s="42"/>
    </row>
    <row r="88" spans="1:8" x14ac:dyDescent="0.25">
      <c r="A88" s="38">
        <v>87</v>
      </c>
      <c r="B88" s="37">
        <v>122</v>
      </c>
      <c r="C88" s="37" t="s">
        <v>412</v>
      </c>
      <c r="D88" s="37" t="s">
        <v>582</v>
      </c>
      <c r="E88" s="37" t="s">
        <v>307</v>
      </c>
      <c r="F88" s="37" t="s">
        <v>840</v>
      </c>
      <c r="G88" s="49" t="s">
        <v>841</v>
      </c>
      <c r="H88" s="37"/>
    </row>
    <row r="89" spans="1:8" x14ac:dyDescent="0.25">
      <c r="A89" s="38">
        <v>88</v>
      </c>
      <c r="B89" s="37">
        <v>117</v>
      </c>
      <c r="C89" s="37" t="s">
        <v>408</v>
      </c>
      <c r="D89" s="37" t="s">
        <v>532</v>
      </c>
      <c r="E89" s="37" t="s">
        <v>306</v>
      </c>
      <c r="F89" s="37" t="s">
        <v>842</v>
      </c>
      <c r="G89" s="49" t="s">
        <v>843</v>
      </c>
      <c r="H89" s="37"/>
    </row>
    <row r="90" spans="1:8" x14ac:dyDescent="0.25">
      <c r="A90" s="38">
        <v>89</v>
      </c>
      <c r="B90" s="37">
        <v>115</v>
      </c>
      <c r="C90" s="37" t="s">
        <v>407</v>
      </c>
      <c r="D90" s="37" t="s">
        <v>532</v>
      </c>
      <c r="E90" s="37" t="s">
        <v>844</v>
      </c>
      <c r="F90" s="37" t="s">
        <v>845</v>
      </c>
      <c r="G90" s="37" t="s">
        <v>846</v>
      </c>
      <c r="H90" s="37"/>
    </row>
    <row r="91" spans="1:8" s="33" customFormat="1" x14ac:dyDescent="0.25">
      <c r="A91" s="41">
        <v>90</v>
      </c>
      <c r="B91" s="42">
        <v>113</v>
      </c>
      <c r="C91" s="42" t="s">
        <v>406</v>
      </c>
      <c r="D91" s="42" t="s">
        <v>532</v>
      </c>
      <c r="E91" s="42" t="s">
        <v>847</v>
      </c>
      <c r="F91" s="42" t="s">
        <v>848</v>
      </c>
      <c r="G91" s="42" t="s">
        <v>849</v>
      </c>
      <c r="H91" s="42"/>
    </row>
    <row r="92" spans="1:8" x14ac:dyDescent="0.25">
      <c r="A92" s="38">
        <v>91</v>
      </c>
      <c r="B92" s="37">
        <v>93</v>
      </c>
      <c r="C92" s="37" t="s">
        <v>393</v>
      </c>
      <c r="D92" s="37" t="s">
        <v>583</v>
      </c>
      <c r="E92" s="37" t="s">
        <v>294</v>
      </c>
      <c r="F92" s="37" t="s">
        <v>851</v>
      </c>
      <c r="G92" s="37" t="s">
        <v>850</v>
      </c>
      <c r="H92" s="37"/>
    </row>
    <row r="93" spans="1:8" x14ac:dyDescent="0.25">
      <c r="A93" s="38">
        <v>92</v>
      </c>
      <c r="B93" s="37">
        <v>105</v>
      </c>
      <c r="C93" s="37" t="s">
        <v>401</v>
      </c>
      <c r="D93" s="37" t="s">
        <v>584</v>
      </c>
      <c r="E93" s="37" t="s">
        <v>301</v>
      </c>
      <c r="F93" s="37" t="s">
        <v>853</v>
      </c>
      <c r="G93" s="37" t="s">
        <v>854</v>
      </c>
      <c r="H93" s="37"/>
    </row>
    <row r="94" spans="1:8" x14ac:dyDescent="0.25">
      <c r="A94" s="38">
        <v>93</v>
      </c>
      <c r="B94" s="37">
        <v>106</v>
      </c>
      <c r="C94" s="37" t="s">
        <v>402</v>
      </c>
      <c r="D94" s="37" t="s">
        <v>585</v>
      </c>
      <c r="E94" s="37" t="s">
        <v>302</v>
      </c>
      <c r="F94" s="37" t="s">
        <v>855</v>
      </c>
      <c r="G94" s="37" t="s">
        <v>856</v>
      </c>
      <c r="H94" s="37"/>
    </row>
    <row r="95" spans="1:8" x14ac:dyDescent="0.25">
      <c r="A95" s="38">
        <v>94</v>
      </c>
      <c r="B95" s="37">
        <v>107</v>
      </c>
      <c r="C95" s="37" t="s">
        <v>403</v>
      </c>
      <c r="D95" s="37" t="s">
        <v>586</v>
      </c>
      <c r="E95" s="37" t="s">
        <v>303</v>
      </c>
      <c r="F95" s="37" t="s">
        <v>857</v>
      </c>
      <c r="G95" s="37" t="s">
        <v>858</v>
      </c>
      <c r="H95" s="37"/>
    </row>
    <row r="96" spans="1:8" s="33" customFormat="1" x14ac:dyDescent="0.25">
      <c r="A96" s="41">
        <v>95</v>
      </c>
      <c r="B96" s="42">
        <v>108</v>
      </c>
      <c r="C96" s="42" t="s">
        <v>404</v>
      </c>
      <c r="D96" s="42" t="s">
        <v>587</v>
      </c>
      <c r="E96" s="42" t="s">
        <v>304</v>
      </c>
      <c r="F96" s="42" t="s">
        <v>859</v>
      </c>
      <c r="G96" s="42" t="s">
        <v>860</v>
      </c>
      <c r="H96" s="42"/>
    </row>
    <row r="97" spans="1:8" s="33" customFormat="1" x14ac:dyDescent="0.25">
      <c r="A97" s="41">
        <v>96</v>
      </c>
      <c r="B97" s="42">
        <v>109</v>
      </c>
      <c r="C97" s="42" t="s">
        <v>405</v>
      </c>
      <c r="D97" s="42" t="s">
        <v>588</v>
      </c>
      <c r="E97" s="42" t="s">
        <v>852</v>
      </c>
      <c r="F97" s="42" t="s">
        <v>838</v>
      </c>
      <c r="G97" s="48" t="s">
        <v>839</v>
      </c>
      <c r="H97" s="42"/>
    </row>
    <row r="98" spans="1:8" x14ac:dyDescent="0.25">
      <c r="A98" s="38">
        <v>97</v>
      </c>
      <c r="B98" s="37">
        <v>99</v>
      </c>
      <c r="C98" s="37" t="s">
        <v>397</v>
      </c>
      <c r="D98" s="37" t="s">
        <v>589</v>
      </c>
      <c r="E98" s="37" t="s">
        <v>297</v>
      </c>
      <c r="F98" s="37" t="s">
        <v>861</v>
      </c>
      <c r="G98" s="37" t="s">
        <v>862</v>
      </c>
      <c r="H98" s="37"/>
    </row>
    <row r="99" spans="1:8" x14ac:dyDescent="0.25">
      <c r="A99" s="38">
        <v>98</v>
      </c>
      <c r="B99" s="37">
        <v>100</v>
      </c>
      <c r="C99" s="37" t="s">
        <v>398</v>
      </c>
      <c r="D99" s="37" t="s">
        <v>590</v>
      </c>
      <c r="E99" s="37" t="s">
        <v>298</v>
      </c>
      <c r="F99" s="37" t="s">
        <v>863</v>
      </c>
      <c r="G99" s="37" t="s">
        <v>864</v>
      </c>
      <c r="H99" s="37"/>
    </row>
    <row r="100" spans="1:8" x14ac:dyDescent="0.25">
      <c r="A100" s="38">
        <v>99</v>
      </c>
      <c r="B100" s="37">
        <v>101</v>
      </c>
      <c r="C100" s="37" t="s">
        <v>399</v>
      </c>
      <c r="D100" s="37" t="s">
        <v>591</v>
      </c>
      <c r="E100" s="37" t="s">
        <v>299</v>
      </c>
      <c r="F100" s="37" t="s">
        <v>865</v>
      </c>
      <c r="G100" s="37" t="s">
        <v>866</v>
      </c>
      <c r="H100" s="37"/>
    </row>
    <row r="101" spans="1:8" x14ac:dyDescent="0.25">
      <c r="A101" s="38">
        <v>100</v>
      </c>
      <c r="B101" s="37">
        <v>102</v>
      </c>
      <c r="C101" s="37" t="s">
        <v>400</v>
      </c>
      <c r="D101" s="37" t="s">
        <v>592</v>
      </c>
      <c r="E101" s="37" t="s">
        <v>300</v>
      </c>
      <c r="F101" s="37" t="s">
        <v>867</v>
      </c>
      <c r="G101" s="37" t="s">
        <v>868</v>
      </c>
      <c r="H101" s="37"/>
    </row>
    <row r="102" spans="1:8" s="33" customFormat="1" x14ac:dyDescent="0.25">
      <c r="A102" s="41">
        <v>101</v>
      </c>
      <c r="B102" s="42">
        <v>95</v>
      </c>
      <c r="C102" s="42" t="s">
        <v>394</v>
      </c>
      <c r="D102" s="42" t="s">
        <v>593</v>
      </c>
      <c r="E102" s="42" t="s">
        <v>295</v>
      </c>
      <c r="F102" s="42" t="s">
        <v>869</v>
      </c>
      <c r="G102" s="42" t="s">
        <v>870</v>
      </c>
      <c r="H102" s="42"/>
    </row>
    <row r="103" spans="1:8" s="33" customFormat="1" x14ac:dyDescent="0.25">
      <c r="A103" s="41">
        <v>102</v>
      </c>
      <c r="B103" s="42">
        <v>96</v>
      </c>
      <c r="C103" s="42" t="s">
        <v>395</v>
      </c>
      <c r="D103" s="42" t="s">
        <v>594</v>
      </c>
      <c r="E103" s="42" t="s">
        <v>113</v>
      </c>
      <c r="F103" s="42" t="s">
        <v>871</v>
      </c>
      <c r="G103" s="42" t="s">
        <v>872</v>
      </c>
      <c r="H103" s="42"/>
    </row>
    <row r="104" spans="1:8" x14ac:dyDescent="0.25">
      <c r="A104" s="38">
        <v>103</v>
      </c>
      <c r="B104" s="37">
        <v>97</v>
      </c>
      <c r="C104" s="37" t="s">
        <v>396</v>
      </c>
      <c r="D104" s="37" t="s">
        <v>595</v>
      </c>
      <c r="E104" s="37" t="s">
        <v>296</v>
      </c>
      <c r="F104" s="37" t="s">
        <v>873</v>
      </c>
      <c r="G104" s="37" t="s">
        <v>874</v>
      </c>
      <c r="H104" s="37"/>
    </row>
    <row r="105" spans="1:8" x14ac:dyDescent="0.25">
      <c r="A105" s="38">
        <v>104</v>
      </c>
      <c r="B105" s="37">
        <v>90</v>
      </c>
      <c r="C105" s="37" t="s">
        <v>391</v>
      </c>
      <c r="D105" s="37" t="s">
        <v>596</v>
      </c>
      <c r="E105" s="37" t="s">
        <v>292</v>
      </c>
      <c r="F105" s="37" t="s">
        <v>875</v>
      </c>
      <c r="G105" s="37" t="s">
        <v>876</v>
      </c>
      <c r="H105" s="37"/>
    </row>
    <row r="106" spans="1:8" s="33" customFormat="1" x14ac:dyDescent="0.25">
      <c r="A106" s="41">
        <v>105</v>
      </c>
      <c r="B106" s="42">
        <v>91</v>
      </c>
      <c r="C106" s="42" t="s">
        <v>392</v>
      </c>
      <c r="D106" s="42" t="s">
        <v>597</v>
      </c>
      <c r="E106" s="42" t="s">
        <v>293</v>
      </c>
      <c r="F106" s="42" t="s">
        <v>877</v>
      </c>
      <c r="G106" s="42" t="s">
        <v>878</v>
      </c>
      <c r="H106" s="42"/>
    </row>
    <row r="107" spans="1:8" x14ac:dyDescent="0.25">
      <c r="A107" s="38">
        <v>106</v>
      </c>
      <c r="B107" s="37">
        <v>74</v>
      </c>
      <c r="C107" s="37" t="s">
        <v>380</v>
      </c>
      <c r="D107" s="37" t="s">
        <v>598</v>
      </c>
      <c r="E107" s="37" t="s">
        <v>110</v>
      </c>
      <c r="F107" s="37" t="s">
        <v>879</v>
      </c>
      <c r="G107" s="37" t="s">
        <v>880</v>
      </c>
      <c r="H107" s="37"/>
    </row>
    <row r="108" spans="1:8" x14ac:dyDescent="0.25">
      <c r="A108" s="38">
        <v>107</v>
      </c>
      <c r="B108" s="37">
        <v>72</v>
      </c>
      <c r="C108" s="37" t="s">
        <v>379</v>
      </c>
      <c r="D108" s="37" t="s">
        <v>599</v>
      </c>
      <c r="E108" s="37" t="s">
        <v>283</v>
      </c>
      <c r="F108" s="37" t="s">
        <v>881</v>
      </c>
      <c r="G108" s="37" t="s">
        <v>882</v>
      </c>
      <c r="H108" s="37"/>
    </row>
    <row r="109" spans="1:8" x14ac:dyDescent="0.25">
      <c r="A109" s="38">
        <v>108</v>
      </c>
      <c r="B109" s="37">
        <v>70</v>
      </c>
      <c r="C109" s="37" t="s">
        <v>378</v>
      </c>
      <c r="D109" s="37" t="s">
        <v>600</v>
      </c>
      <c r="E109" s="37" t="s">
        <v>282</v>
      </c>
      <c r="F109" s="37" t="s">
        <v>883</v>
      </c>
      <c r="G109" s="37" t="s">
        <v>884</v>
      </c>
      <c r="H109" s="37"/>
    </row>
    <row r="110" spans="1:8" x14ac:dyDescent="0.25">
      <c r="A110" s="38">
        <v>109</v>
      </c>
      <c r="B110" s="37">
        <v>78</v>
      </c>
      <c r="C110" s="37" t="s">
        <v>381</v>
      </c>
      <c r="D110" s="37" t="s">
        <v>601</v>
      </c>
      <c r="E110" s="37" t="s">
        <v>284</v>
      </c>
      <c r="F110" s="37" t="s">
        <v>885</v>
      </c>
      <c r="G110" s="37" t="s">
        <v>886</v>
      </c>
      <c r="H110" s="37"/>
    </row>
    <row r="111" spans="1:8" x14ac:dyDescent="0.25">
      <c r="A111" s="38">
        <v>110</v>
      </c>
      <c r="B111" s="37">
        <v>79</v>
      </c>
      <c r="C111" s="37" t="s">
        <v>382</v>
      </c>
      <c r="D111" s="37" t="s">
        <v>602</v>
      </c>
      <c r="E111" s="37" t="s">
        <v>285</v>
      </c>
      <c r="F111" s="37" t="s">
        <v>887</v>
      </c>
      <c r="G111" s="37"/>
      <c r="H111" s="37"/>
    </row>
    <row r="112" spans="1:8" x14ac:dyDescent="0.25">
      <c r="A112" s="38">
        <v>111</v>
      </c>
      <c r="B112" s="37">
        <v>80</v>
      </c>
      <c r="C112" s="37" t="s">
        <v>383</v>
      </c>
      <c r="D112" s="37" t="s">
        <v>603</v>
      </c>
      <c r="E112" s="37" t="s">
        <v>286</v>
      </c>
      <c r="F112" s="37" t="s">
        <v>888</v>
      </c>
      <c r="G112" s="37" t="s">
        <v>889</v>
      </c>
      <c r="H112" s="37"/>
    </row>
    <row r="113" spans="1:8" x14ac:dyDescent="0.25">
      <c r="A113" s="38">
        <v>112</v>
      </c>
      <c r="B113" s="37">
        <v>81</v>
      </c>
      <c r="C113" s="37" t="s">
        <v>384</v>
      </c>
      <c r="D113" s="37" t="s">
        <v>604</v>
      </c>
      <c r="E113" s="37" t="s">
        <v>111</v>
      </c>
      <c r="F113" s="37" t="s">
        <v>890</v>
      </c>
      <c r="G113" s="37" t="s">
        <v>891</v>
      </c>
      <c r="H113" s="37"/>
    </row>
    <row r="114" spans="1:8" x14ac:dyDescent="0.25">
      <c r="A114" s="38">
        <v>113</v>
      </c>
      <c r="B114" s="37">
        <v>82</v>
      </c>
      <c r="C114" s="37" t="s">
        <v>385</v>
      </c>
      <c r="D114" s="37" t="s">
        <v>605</v>
      </c>
      <c r="E114" s="37" t="s">
        <v>287</v>
      </c>
      <c r="F114" s="37" t="s">
        <v>892</v>
      </c>
      <c r="G114" s="37"/>
      <c r="H114" s="37"/>
    </row>
    <row r="115" spans="1:8" x14ac:dyDescent="0.25">
      <c r="A115" s="38">
        <v>114</v>
      </c>
      <c r="B115" s="37">
        <v>83</v>
      </c>
      <c r="C115" s="37" t="s">
        <v>386</v>
      </c>
      <c r="D115" s="37" t="s">
        <v>606</v>
      </c>
      <c r="E115" s="37" t="s">
        <v>288</v>
      </c>
      <c r="F115" s="37" t="s">
        <v>893</v>
      </c>
      <c r="G115" s="37" t="s">
        <v>894</v>
      </c>
      <c r="H115" s="37"/>
    </row>
    <row r="116" spans="1:8" x14ac:dyDescent="0.25">
      <c r="A116" s="38">
        <v>115</v>
      </c>
      <c r="B116" s="37">
        <v>84</v>
      </c>
      <c r="C116" s="37" t="s">
        <v>387</v>
      </c>
      <c r="D116" s="37" t="s">
        <v>607</v>
      </c>
      <c r="E116" s="37" t="s">
        <v>289</v>
      </c>
      <c r="F116" s="37" t="s">
        <v>895</v>
      </c>
      <c r="G116" s="37" t="s">
        <v>896</v>
      </c>
      <c r="H116" s="37"/>
    </row>
    <row r="117" spans="1:8" x14ac:dyDescent="0.25">
      <c r="A117" s="38">
        <v>116</v>
      </c>
      <c r="B117" s="37">
        <v>85</v>
      </c>
      <c r="C117" s="37" t="s">
        <v>388</v>
      </c>
      <c r="D117" s="37" t="s">
        <v>608</v>
      </c>
      <c r="E117" s="37" t="s">
        <v>290</v>
      </c>
      <c r="F117" s="37" t="s">
        <v>897</v>
      </c>
      <c r="G117" s="37" t="s">
        <v>898</v>
      </c>
      <c r="H117" s="37"/>
    </row>
    <row r="118" spans="1:8" x14ac:dyDescent="0.25">
      <c r="A118" s="38">
        <v>117</v>
      </c>
      <c r="B118" s="37">
        <v>86</v>
      </c>
      <c r="C118" s="37" t="s">
        <v>389</v>
      </c>
      <c r="D118" s="37" t="s">
        <v>609</v>
      </c>
      <c r="E118" s="37" t="s">
        <v>112</v>
      </c>
      <c r="F118" s="37" t="s">
        <v>899</v>
      </c>
      <c r="G118" s="37"/>
      <c r="H118" s="37"/>
    </row>
    <row r="119" spans="1:8" x14ac:dyDescent="0.25">
      <c r="A119" s="38">
        <v>118</v>
      </c>
      <c r="B119" s="37">
        <v>87</v>
      </c>
      <c r="C119" s="37" t="s">
        <v>390</v>
      </c>
      <c r="D119" s="37" t="s">
        <v>610</v>
      </c>
      <c r="E119" s="37" t="s">
        <v>291</v>
      </c>
      <c r="F119" s="37" t="s">
        <v>900</v>
      </c>
      <c r="G119" s="37" t="s">
        <v>901</v>
      </c>
      <c r="H119" s="37"/>
    </row>
    <row r="120" spans="1:8" x14ac:dyDescent="0.25">
      <c r="A120" s="38">
        <v>119</v>
      </c>
      <c r="B120" s="37">
        <v>60</v>
      </c>
      <c r="C120" s="37" t="s">
        <v>369</v>
      </c>
      <c r="D120" s="37" t="s">
        <v>611</v>
      </c>
      <c r="E120" s="37" t="s">
        <v>275</v>
      </c>
      <c r="F120" s="37" t="s">
        <v>902</v>
      </c>
      <c r="G120" s="37" t="s">
        <v>903</v>
      </c>
      <c r="H120" s="37"/>
    </row>
    <row r="121" spans="1:8" x14ac:dyDescent="0.25">
      <c r="A121" s="38">
        <v>120</v>
      </c>
      <c r="B121" s="37">
        <v>61</v>
      </c>
      <c r="C121" s="37" t="s">
        <v>370</v>
      </c>
      <c r="D121" s="37" t="s">
        <v>612</v>
      </c>
      <c r="E121" s="37" t="s">
        <v>276</v>
      </c>
      <c r="F121" s="37" t="s">
        <v>904</v>
      </c>
      <c r="G121" s="37" t="s">
        <v>905</v>
      </c>
      <c r="H121" s="37"/>
    </row>
    <row r="122" spans="1:8" x14ac:dyDescent="0.25">
      <c r="A122" s="38">
        <v>121</v>
      </c>
      <c r="B122" s="37">
        <v>62</v>
      </c>
      <c r="C122" s="37" t="s">
        <v>371</v>
      </c>
      <c r="D122" s="37" t="s">
        <v>613</v>
      </c>
      <c r="E122" s="37" t="s">
        <v>277</v>
      </c>
      <c r="F122" s="37" t="s">
        <v>906</v>
      </c>
      <c r="G122" s="37" t="s">
        <v>907</v>
      </c>
      <c r="H122" s="37"/>
    </row>
    <row r="123" spans="1:8" x14ac:dyDescent="0.25">
      <c r="A123" s="38">
        <v>122</v>
      </c>
      <c r="B123" s="37">
        <v>63</v>
      </c>
      <c r="C123" s="37" t="s">
        <v>372</v>
      </c>
      <c r="D123" s="37" t="s">
        <v>614</v>
      </c>
      <c r="E123" s="37" t="s">
        <v>109</v>
      </c>
      <c r="F123" s="37" t="s">
        <v>908</v>
      </c>
      <c r="G123" s="37" t="s">
        <v>909</v>
      </c>
      <c r="H123" s="37"/>
    </row>
    <row r="124" spans="1:8" x14ac:dyDescent="0.25">
      <c r="A124" s="38">
        <v>123</v>
      </c>
      <c r="B124" s="37">
        <v>64</v>
      </c>
      <c r="C124" s="37" t="s">
        <v>373</v>
      </c>
      <c r="D124" s="37" t="s">
        <v>615</v>
      </c>
      <c r="E124" s="37" t="s">
        <v>278</v>
      </c>
      <c r="F124" s="37" t="s">
        <v>910</v>
      </c>
      <c r="G124" s="37" t="s">
        <v>911</v>
      </c>
      <c r="H124" s="37"/>
    </row>
    <row r="125" spans="1:8" x14ac:dyDescent="0.25">
      <c r="A125" s="38">
        <v>124</v>
      </c>
      <c r="B125" s="37">
        <v>65</v>
      </c>
      <c r="C125" s="37" t="s">
        <v>374</v>
      </c>
      <c r="D125" s="37" t="s">
        <v>616</v>
      </c>
      <c r="E125" s="37" t="s">
        <v>279</v>
      </c>
      <c r="F125" s="37" t="s">
        <v>912</v>
      </c>
      <c r="G125" s="37"/>
      <c r="H125" s="37"/>
    </row>
    <row r="126" spans="1:8" x14ac:dyDescent="0.25">
      <c r="A126" s="38">
        <v>125</v>
      </c>
      <c r="B126" s="37">
        <v>66</v>
      </c>
      <c r="C126" s="37" t="s">
        <v>375</v>
      </c>
      <c r="D126" s="37" t="s">
        <v>617</v>
      </c>
      <c r="E126" s="37" t="s">
        <v>280</v>
      </c>
      <c r="F126" s="37" t="s">
        <v>913</v>
      </c>
      <c r="G126" s="37"/>
      <c r="H126" s="37"/>
    </row>
    <row r="127" spans="1:8" x14ac:dyDescent="0.25">
      <c r="A127" s="38">
        <v>126</v>
      </c>
      <c r="B127" s="37">
        <v>67</v>
      </c>
      <c r="C127" s="37" t="s">
        <v>376</v>
      </c>
      <c r="D127" s="37" t="s">
        <v>618</v>
      </c>
      <c r="E127" s="37" t="s">
        <v>269</v>
      </c>
      <c r="F127" s="37" t="s">
        <v>914</v>
      </c>
      <c r="G127" s="37"/>
      <c r="H127" s="37"/>
    </row>
    <row r="128" spans="1:8" x14ac:dyDescent="0.25">
      <c r="A128" s="38">
        <v>127</v>
      </c>
      <c r="B128" s="37">
        <v>68</v>
      </c>
      <c r="C128" s="37" t="s">
        <v>377</v>
      </c>
      <c r="D128" s="37" t="s">
        <v>619</v>
      </c>
      <c r="E128" s="37" t="s">
        <v>281</v>
      </c>
      <c r="F128" s="37" t="s">
        <v>917</v>
      </c>
      <c r="G128" s="37" t="s">
        <v>918</v>
      </c>
      <c r="H128" s="37"/>
    </row>
    <row r="129" spans="1:8" x14ac:dyDescent="0.25">
      <c r="A129" s="38">
        <v>128</v>
      </c>
      <c r="B129" s="37">
        <v>57</v>
      </c>
      <c r="C129" s="37" t="s">
        <v>367</v>
      </c>
      <c r="D129" s="37" t="s">
        <v>620</v>
      </c>
      <c r="E129" s="37" t="s">
        <v>273</v>
      </c>
      <c r="F129" s="37" t="s">
        <v>915</v>
      </c>
      <c r="G129" s="37" t="s">
        <v>916</v>
      </c>
      <c r="H129" s="37"/>
    </row>
    <row r="130" spans="1:8" x14ac:dyDescent="0.25">
      <c r="A130" s="38">
        <v>129</v>
      </c>
      <c r="B130" s="37">
        <v>58</v>
      </c>
      <c r="C130" s="37" t="s">
        <v>368</v>
      </c>
      <c r="D130" s="37" t="s">
        <v>621</v>
      </c>
      <c r="E130" s="37" t="s">
        <v>274</v>
      </c>
      <c r="F130" s="37" t="s">
        <v>919</v>
      </c>
      <c r="G130" s="37"/>
      <c r="H130" s="37"/>
    </row>
    <row r="131" spans="1:8" x14ac:dyDescent="0.25">
      <c r="A131" s="38">
        <v>130</v>
      </c>
      <c r="B131" s="37">
        <v>54</v>
      </c>
      <c r="C131" s="37" t="s">
        <v>366</v>
      </c>
      <c r="D131" s="37" t="s">
        <v>622</v>
      </c>
      <c r="E131" s="37" t="s">
        <v>272</v>
      </c>
      <c r="F131" s="37" t="s">
        <v>920</v>
      </c>
      <c r="G131" s="37" t="s">
        <v>921</v>
      </c>
      <c r="H131" s="37"/>
    </row>
    <row r="132" spans="1:8" x14ac:dyDescent="0.25">
      <c r="A132" s="38">
        <v>131</v>
      </c>
      <c r="B132" s="37">
        <v>55</v>
      </c>
      <c r="C132" s="37" t="s">
        <v>365</v>
      </c>
      <c r="D132" s="37" t="s">
        <v>623</v>
      </c>
      <c r="E132" s="37" t="s">
        <v>271</v>
      </c>
      <c r="F132" s="37" t="s">
        <v>924</v>
      </c>
      <c r="G132" s="37" t="s">
        <v>925</v>
      </c>
      <c r="H132" s="37"/>
    </row>
    <row r="133" spans="1:8" x14ac:dyDescent="0.25">
      <c r="A133" s="38">
        <v>132</v>
      </c>
      <c r="B133" s="37">
        <v>34</v>
      </c>
      <c r="C133" s="37" t="s">
        <v>363</v>
      </c>
      <c r="D133" s="37" t="s">
        <v>624</v>
      </c>
      <c r="E133" s="37" t="s">
        <v>108</v>
      </c>
      <c r="F133" s="37" t="s">
        <v>922</v>
      </c>
      <c r="G133" s="37" t="s">
        <v>923</v>
      </c>
      <c r="H133" s="37"/>
    </row>
    <row r="134" spans="1:8" x14ac:dyDescent="0.25">
      <c r="A134" s="38">
        <v>133</v>
      </c>
      <c r="B134" s="37">
        <v>50</v>
      </c>
      <c r="C134" s="37" t="s">
        <v>364</v>
      </c>
      <c r="D134" s="37" t="s">
        <v>625</v>
      </c>
      <c r="E134" s="37" t="s">
        <v>103</v>
      </c>
      <c r="F134" s="37" t="s">
        <v>926</v>
      </c>
      <c r="G134" s="37" t="s">
        <v>927</v>
      </c>
      <c r="H134" s="37"/>
    </row>
    <row r="135" spans="1:8" x14ac:dyDescent="0.25">
      <c r="A135" s="38">
        <v>134</v>
      </c>
      <c r="B135" s="37">
        <v>1</v>
      </c>
      <c r="C135" s="37" t="s">
        <v>338</v>
      </c>
      <c r="D135" s="37" t="s">
        <v>626</v>
      </c>
      <c r="E135" s="37" t="s">
        <v>249</v>
      </c>
      <c r="F135" s="37" t="s">
        <v>453</v>
      </c>
      <c r="G135" s="37" t="s">
        <v>905</v>
      </c>
      <c r="H135" s="37"/>
    </row>
    <row r="136" spans="1:8" x14ac:dyDescent="0.25">
      <c r="A136" s="38">
        <v>135</v>
      </c>
      <c r="B136" s="37">
        <v>37</v>
      </c>
      <c r="C136" s="37" t="s">
        <v>339</v>
      </c>
      <c r="D136" s="37" t="s">
        <v>627</v>
      </c>
      <c r="E136" s="37" t="s">
        <v>250</v>
      </c>
      <c r="F136" s="37" t="s">
        <v>932</v>
      </c>
      <c r="G136" s="37" t="s">
        <v>933</v>
      </c>
      <c r="H136" s="37"/>
    </row>
    <row r="137" spans="1:8" x14ac:dyDescent="0.25">
      <c r="A137" s="38">
        <v>136</v>
      </c>
      <c r="B137" s="37">
        <v>31</v>
      </c>
      <c r="C137" s="37" t="s">
        <v>340</v>
      </c>
      <c r="D137" s="37" t="s">
        <v>628</v>
      </c>
      <c r="E137" s="37" t="s">
        <v>251</v>
      </c>
      <c r="F137" s="37" t="s">
        <v>928</v>
      </c>
      <c r="G137" s="37" t="s">
        <v>929</v>
      </c>
      <c r="H137" s="37"/>
    </row>
    <row r="138" spans="1:8" x14ac:dyDescent="0.25">
      <c r="A138" s="38">
        <v>137</v>
      </c>
      <c r="B138" s="37">
        <v>48</v>
      </c>
      <c r="C138" s="37" t="s">
        <v>341</v>
      </c>
      <c r="D138" s="37" t="s">
        <v>629</v>
      </c>
      <c r="E138" s="37" t="s">
        <v>252</v>
      </c>
      <c r="F138" s="37" t="s">
        <v>930</v>
      </c>
      <c r="G138" s="37" t="s">
        <v>931</v>
      </c>
      <c r="H138" s="37"/>
    </row>
    <row r="139" spans="1:8" x14ac:dyDescent="0.25">
      <c r="A139" s="38">
        <v>138</v>
      </c>
      <c r="B139" s="37">
        <v>49</v>
      </c>
      <c r="C139" s="37" t="s">
        <v>342</v>
      </c>
      <c r="D139" s="37" t="s">
        <v>630</v>
      </c>
      <c r="E139" s="37" t="s">
        <v>253</v>
      </c>
      <c r="F139" s="37" t="s">
        <v>934</v>
      </c>
      <c r="G139" s="37"/>
      <c r="H139" s="37"/>
    </row>
    <row r="140" spans="1:8" x14ac:dyDescent="0.25">
      <c r="A140" s="38">
        <v>139</v>
      </c>
      <c r="B140" s="37">
        <v>2</v>
      </c>
      <c r="C140" s="37" t="s">
        <v>343</v>
      </c>
      <c r="D140" s="37" t="s">
        <v>631</v>
      </c>
      <c r="E140" s="37" t="s">
        <v>270</v>
      </c>
      <c r="F140" s="37" t="s">
        <v>935</v>
      </c>
      <c r="G140" s="37" t="s">
        <v>936</v>
      </c>
      <c r="H140" s="37"/>
    </row>
    <row r="141" spans="1:8" x14ac:dyDescent="0.25">
      <c r="A141" s="38">
        <v>140</v>
      </c>
      <c r="B141" s="37">
        <v>33</v>
      </c>
      <c r="C141" s="37" t="s">
        <v>344</v>
      </c>
      <c r="D141" s="37" t="s">
        <v>632</v>
      </c>
      <c r="E141" s="37" t="s">
        <v>254</v>
      </c>
      <c r="F141" s="37" t="s">
        <v>937</v>
      </c>
      <c r="G141" s="37"/>
      <c r="H141" s="37"/>
    </row>
    <row r="142" spans="1:8" x14ac:dyDescent="0.25">
      <c r="A142" s="38">
        <v>141</v>
      </c>
      <c r="B142" s="37">
        <v>47</v>
      </c>
      <c r="C142" s="37" t="s">
        <v>345</v>
      </c>
      <c r="D142" s="37" t="s">
        <v>633</v>
      </c>
      <c r="E142" s="37" t="s">
        <v>255</v>
      </c>
      <c r="F142" s="37" t="s">
        <v>938</v>
      </c>
      <c r="G142" s="37"/>
      <c r="H142" s="37"/>
    </row>
    <row r="143" spans="1:8" x14ac:dyDescent="0.25">
      <c r="A143" s="38">
        <v>142</v>
      </c>
      <c r="B143" s="37">
        <v>46</v>
      </c>
      <c r="C143" s="37" t="s">
        <v>346</v>
      </c>
      <c r="D143" s="37" t="s">
        <v>634</v>
      </c>
      <c r="E143" s="37" t="s">
        <v>256</v>
      </c>
      <c r="F143" s="37" t="s">
        <v>939</v>
      </c>
      <c r="G143" s="37"/>
      <c r="H143" s="37"/>
    </row>
    <row r="144" spans="1:8" x14ac:dyDescent="0.25">
      <c r="A144" s="38">
        <v>143</v>
      </c>
      <c r="B144" s="37">
        <v>5</v>
      </c>
      <c r="C144" s="37" t="s">
        <v>347</v>
      </c>
      <c r="D144" s="37" t="s">
        <v>635</v>
      </c>
      <c r="E144" s="37" t="s">
        <v>257</v>
      </c>
      <c r="F144" s="37" t="s">
        <v>940</v>
      </c>
      <c r="G144" s="37" t="s">
        <v>941</v>
      </c>
      <c r="H144" s="37"/>
    </row>
    <row r="145" spans="1:8" x14ac:dyDescent="0.25">
      <c r="A145" s="38">
        <v>144</v>
      </c>
      <c r="B145" s="37">
        <v>7</v>
      </c>
      <c r="C145" s="37" t="s">
        <v>348</v>
      </c>
      <c r="D145" s="37" t="s">
        <v>636</v>
      </c>
      <c r="E145" s="37" t="s">
        <v>104</v>
      </c>
      <c r="F145" s="37" t="s">
        <v>942</v>
      </c>
      <c r="G145" s="37"/>
      <c r="H145" s="37"/>
    </row>
    <row r="146" spans="1:8" x14ac:dyDescent="0.25">
      <c r="A146" s="38">
        <v>145</v>
      </c>
      <c r="B146" s="37">
        <v>32</v>
      </c>
      <c r="C146" s="37" t="s">
        <v>349</v>
      </c>
      <c r="D146" s="37" t="s">
        <v>637</v>
      </c>
      <c r="E146" s="37" t="s">
        <v>258</v>
      </c>
      <c r="F146" s="37" t="s">
        <v>943</v>
      </c>
      <c r="G146" s="37" t="s">
        <v>944</v>
      </c>
      <c r="H146" s="37"/>
    </row>
    <row r="147" spans="1:8" x14ac:dyDescent="0.25">
      <c r="A147" s="38">
        <v>146</v>
      </c>
      <c r="B147" s="37">
        <v>30</v>
      </c>
      <c r="C147" s="37" t="s">
        <v>350</v>
      </c>
      <c r="D147" s="37" t="s">
        <v>638</v>
      </c>
      <c r="E147" s="37" t="s">
        <v>105</v>
      </c>
      <c r="F147" s="37" t="s">
        <v>945</v>
      </c>
      <c r="G147" s="37" t="s">
        <v>946</v>
      </c>
      <c r="H147" s="37"/>
    </row>
    <row r="148" spans="1:8" x14ac:dyDescent="0.25">
      <c r="A148" s="38">
        <v>147</v>
      </c>
      <c r="B148" s="37">
        <v>42</v>
      </c>
      <c r="C148" s="37" t="s">
        <v>351</v>
      </c>
      <c r="D148" s="37" t="s">
        <v>639</v>
      </c>
      <c r="E148" s="37" t="s">
        <v>259</v>
      </c>
      <c r="F148" s="37" t="s">
        <v>947</v>
      </c>
      <c r="G148" s="37" t="s">
        <v>948</v>
      </c>
      <c r="H148" s="37"/>
    </row>
    <row r="149" spans="1:8" x14ac:dyDescent="0.25">
      <c r="A149" s="38">
        <v>148</v>
      </c>
      <c r="B149" s="37">
        <v>45</v>
      </c>
      <c r="C149" s="37" t="s">
        <v>352</v>
      </c>
      <c r="D149" s="37" t="s">
        <v>640</v>
      </c>
      <c r="E149" s="37" t="s">
        <v>106</v>
      </c>
      <c r="F149" s="37" t="s">
        <v>949</v>
      </c>
      <c r="G149" s="37" t="s">
        <v>846</v>
      </c>
      <c r="H149" s="37"/>
    </row>
    <row r="150" spans="1:8" x14ac:dyDescent="0.25">
      <c r="A150" s="38">
        <v>149</v>
      </c>
      <c r="B150" s="37">
        <v>25</v>
      </c>
      <c r="C150" s="37" t="s">
        <v>353</v>
      </c>
      <c r="D150" s="37" t="s">
        <v>641</v>
      </c>
      <c r="E150" s="37" t="s">
        <v>260</v>
      </c>
      <c r="F150" s="37" t="s">
        <v>950</v>
      </c>
      <c r="G150" s="37" t="s">
        <v>951</v>
      </c>
      <c r="H150" s="37"/>
    </row>
    <row r="151" spans="1:8" x14ac:dyDescent="0.25">
      <c r="A151" s="38">
        <v>150</v>
      </c>
      <c r="B151" s="37">
        <v>23</v>
      </c>
      <c r="C151" s="37" t="s">
        <v>354</v>
      </c>
      <c r="D151" s="37" t="s">
        <v>642</v>
      </c>
      <c r="E151" s="37" t="s">
        <v>261</v>
      </c>
      <c r="F151" s="37" t="s">
        <v>952</v>
      </c>
      <c r="G151" s="37" t="s">
        <v>953</v>
      </c>
      <c r="H151" s="37"/>
    </row>
    <row r="152" spans="1:8" x14ac:dyDescent="0.25">
      <c r="A152" s="38">
        <v>151</v>
      </c>
      <c r="B152" s="37">
        <v>24</v>
      </c>
      <c r="C152" s="37" t="s">
        <v>355</v>
      </c>
      <c r="D152" s="37" t="s">
        <v>643</v>
      </c>
      <c r="E152" s="37" t="s">
        <v>262</v>
      </c>
      <c r="F152" s="37" t="s">
        <v>954</v>
      </c>
      <c r="G152" s="37" t="s">
        <v>955</v>
      </c>
      <c r="H152" s="37"/>
    </row>
    <row r="153" spans="1:8" x14ac:dyDescent="0.25">
      <c r="A153" s="38">
        <v>152</v>
      </c>
      <c r="B153" s="37">
        <v>11</v>
      </c>
      <c r="C153" s="37" t="s">
        <v>356</v>
      </c>
      <c r="D153" s="37" t="s">
        <v>644</v>
      </c>
      <c r="E153" s="37" t="s">
        <v>263</v>
      </c>
      <c r="F153" s="37" t="s">
        <v>956</v>
      </c>
      <c r="G153" s="37" t="s">
        <v>843</v>
      </c>
      <c r="H153" s="37"/>
    </row>
    <row r="154" spans="1:8" x14ac:dyDescent="0.25">
      <c r="A154" s="38">
        <v>153</v>
      </c>
      <c r="B154" s="37">
        <v>12</v>
      </c>
      <c r="C154" s="37" t="s">
        <v>357</v>
      </c>
      <c r="D154" s="37" t="s">
        <v>645</v>
      </c>
      <c r="E154" s="37" t="s">
        <v>107</v>
      </c>
      <c r="F154" s="37" t="s">
        <v>959</v>
      </c>
      <c r="G154" s="37"/>
      <c r="H154" s="37"/>
    </row>
    <row r="155" spans="1:8" x14ac:dyDescent="0.25">
      <c r="A155" s="38">
        <v>154</v>
      </c>
      <c r="B155" s="37">
        <v>35</v>
      </c>
      <c r="C155" s="37" t="s">
        <v>358</v>
      </c>
      <c r="D155" s="37" t="s">
        <v>646</v>
      </c>
      <c r="E155" s="37" t="s">
        <v>264</v>
      </c>
      <c r="F155" s="37" t="s">
        <v>957</v>
      </c>
      <c r="G155" s="37" t="s">
        <v>958</v>
      </c>
      <c r="H155" s="37"/>
    </row>
    <row r="156" spans="1:8" x14ac:dyDescent="0.25">
      <c r="A156" s="38">
        <v>155</v>
      </c>
      <c r="B156" s="37">
        <v>41</v>
      </c>
      <c r="C156" s="37" t="s">
        <v>359</v>
      </c>
      <c r="D156" s="37" t="s">
        <v>647</v>
      </c>
      <c r="E156" s="37" t="s">
        <v>265</v>
      </c>
      <c r="F156" s="37" t="s">
        <v>960</v>
      </c>
      <c r="G156" s="37" t="s">
        <v>961</v>
      </c>
      <c r="H156" s="37"/>
    </row>
    <row r="157" spans="1:8" x14ac:dyDescent="0.25">
      <c r="A157" s="38">
        <v>156</v>
      </c>
      <c r="B157" s="37">
        <v>40</v>
      </c>
      <c r="C157" s="37" t="s">
        <v>360</v>
      </c>
      <c r="D157" s="37" t="s">
        <v>648</v>
      </c>
      <c r="E157" s="37" t="s">
        <v>266</v>
      </c>
      <c r="F157" s="37" t="s">
        <v>962</v>
      </c>
      <c r="G157" s="37" t="s">
        <v>963</v>
      </c>
      <c r="H157" s="37"/>
    </row>
    <row r="158" spans="1:8" x14ac:dyDescent="0.25">
      <c r="A158" s="38">
        <v>157</v>
      </c>
      <c r="B158" s="37">
        <v>44</v>
      </c>
      <c r="C158" s="37" t="s">
        <v>361</v>
      </c>
      <c r="D158" s="37" t="s">
        <v>649</v>
      </c>
      <c r="E158" s="37" t="s">
        <v>267</v>
      </c>
      <c r="F158" s="37" t="s">
        <v>964</v>
      </c>
      <c r="G158" s="37" t="s">
        <v>965</v>
      </c>
      <c r="H158" s="37"/>
    </row>
    <row r="159" spans="1:8" x14ac:dyDescent="0.25">
      <c r="A159" s="38">
        <v>158</v>
      </c>
      <c r="B159" s="37">
        <v>36</v>
      </c>
      <c r="C159" s="37" t="s">
        <v>362</v>
      </c>
      <c r="D159" s="37" t="s">
        <v>650</v>
      </c>
      <c r="E159" s="37" t="s">
        <v>268</v>
      </c>
      <c r="F159" s="37" t="s">
        <v>966</v>
      </c>
      <c r="G159" s="37" t="s">
        <v>967</v>
      </c>
      <c r="H159" s="3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G_LATLNG</vt:lpstr>
      <vt:lpstr>G_DISTANCE</vt:lpstr>
      <vt:lpstr>WebBrowser</vt:lpstr>
      <vt:lpstr>ListDistances</vt:lpstr>
      <vt:lpstr>ListStation</vt:lpstr>
      <vt:lpstr>Locations</vt:lpstr>
      <vt:lpstr>WebBrowser!tempTable_1</vt:lpstr>
    </vt:vector>
  </TitlesOfParts>
  <Company>Aedas 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Bull</dc:creator>
  <cp:lastModifiedBy>TRUNG</cp:lastModifiedBy>
  <dcterms:created xsi:type="dcterms:W3CDTF">2012-03-13T19:24:43Z</dcterms:created>
  <dcterms:modified xsi:type="dcterms:W3CDTF">2015-05-31T02:38:10Z</dcterms:modified>
</cp:coreProperties>
</file>