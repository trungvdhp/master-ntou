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aster\"/>
    </mc:Choice>
  </mc:AlternateContent>
  <bookViews>
    <workbookView xWindow="0" yWindow="0" windowWidth="28800" windowHeight="13725" activeTab="4"/>
  </bookViews>
  <sheets>
    <sheet name="G_LATLNG" sheetId="5" r:id="rId1"/>
    <sheet name="G_DISTANCE" sheetId="4" r:id="rId2"/>
    <sheet name="WebBrowser" sheetId="1" r:id="rId3"/>
    <sheet name="ListDistances" sheetId="6" r:id="rId4"/>
    <sheet name="ListStation" sheetId="8" r:id="rId5"/>
  </sheets>
  <functionGroups builtInGroupCount="18"/>
  <definedNames>
    <definedName name="Locations">Table3[Select location]</definedName>
    <definedName name="tempTable_1" localSheetId="2">WebBrowser!$XX$250:$XX$251</definedName>
  </definedNames>
  <calcPr calcId="152511"/>
</workbook>
</file>

<file path=xl/calcChain.xml><?xml version="1.0" encoding="utf-8"?>
<calcChain xmlns="http://schemas.openxmlformats.org/spreadsheetml/2006/main">
  <c r="A7" i="4" l="1"/>
  <c r="A6" i="4"/>
  <c r="A5" i="4"/>
  <c r="A4" i="4"/>
  <c r="A3" i="4"/>
  <c r="A2" i="4"/>
  <c r="C6" i="5"/>
  <c r="B3" i="5"/>
  <c r="D4" i="5"/>
  <c r="G2" i="4"/>
  <c r="B7" i="4"/>
  <c r="B2" i="5"/>
  <c r="D7" i="5"/>
  <c r="E3" i="5"/>
  <c r="E6" i="5"/>
  <c r="B2" i="4"/>
  <c r="G7" i="4"/>
  <c r="C3" i="4"/>
  <c r="E4" i="5"/>
  <c r="G8" i="4"/>
  <c r="C4" i="5"/>
  <c r="B8" i="4"/>
  <c r="B5" i="5"/>
  <c r="F7" i="4"/>
  <c r="B6" i="4"/>
  <c r="F6" i="4"/>
  <c r="D6" i="5"/>
  <c r="D3" i="5"/>
  <c r="E6" i="4"/>
  <c r="C4" i="4"/>
  <c r="D5" i="5"/>
  <c r="G5" i="4"/>
  <c r="C7" i="4"/>
  <c r="D6" i="4"/>
  <c r="E7" i="5"/>
  <c r="C8" i="4"/>
  <c r="E5" i="4"/>
  <c r="B7" i="5"/>
  <c r="C2" i="5"/>
  <c r="D8" i="4"/>
  <c r="C5" i="5"/>
  <c r="C5" i="4"/>
  <c r="E7" i="4"/>
  <c r="C3" i="5"/>
  <c r="C7" i="5"/>
  <c r="E2" i="5"/>
  <c r="E5" i="5"/>
  <c r="D4" i="4"/>
  <c r="J9" i="1"/>
  <c r="B3" i="4"/>
  <c r="E8" i="4"/>
  <c r="B6" i="5"/>
  <c r="D5" i="4"/>
  <c r="C6" i="4"/>
  <c r="D4" i="1"/>
  <c r="B4" i="5"/>
  <c r="G6" i="4"/>
  <c r="G3" i="4"/>
  <c r="D7" i="4"/>
  <c r="B5" i="4"/>
  <c r="F8" i="4"/>
  <c r="D2" i="5"/>
  <c r="B4" i="4"/>
  <c r="G4" i="4"/>
  <c r="C10" i="1" l="1"/>
  <c r="C5" i="1"/>
</calcChain>
</file>

<file path=xl/connections.xml><?xml version="1.0" encoding="utf-8"?>
<connections xmlns="http://schemas.openxmlformats.org/spreadsheetml/2006/main">
  <connection id="1" name="Connection" type="4" refreshedVersion="0" background="1">
    <webPr url="http://whatismyip.org" htmlTables="1" htmlFormat="all"/>
  </connection>
  <connection id="2" name="Connection1" type="4" refreshedVersion="0" background="1">
    <webPr url="http://whatismyip.org" htmlTables="1" htmlFormat="all"/>
  </connection>
  <connection id="3" name="Connection10" type="4" refreshedVersion="0" background="1">
    <webPr url="http://www.ip2location.net" htmlTables="1" htmlFormat="all"/>
  </connection>
  <connection id="4" name="Connection11" type="4" refreshedVersion="0" background="1">
    <webPr url="http://www.ip2location.net" htmlTables="1" htmlFormat="all"/>
  </connection>
  <connection id="5" name="Connection12" type="4" refreshedVersion="0" background="1">
    <webPr url="http://www.ip2location.net" htmlTables="1" htmlFormat="all"/>
  </connection>
  <connection id="6" name="Connection13" type="4" refreshedVersion="0" background="1">
    <webPr url="http://www.ip2location.net" htmlTables="1" htmlFormat="all"/>
  </connection>
  <connection id="7" name="Connection14" type="4" refreshedVersion="0" background="1">
    <webPr url="http://www.ip2location.net" htmlTables="1" htmlFormat="all"/>
  </connection>
  <connection id="8" name="Connection15" type="4" refreshedVersion="0" background="1">
    <webPr url="http://www.ip2location.net" htmlTables="1" htmlFormat="all"/>
  </connection>
  <connection id="9" name="Connection16" type="4" refreshedVersion="0" background="1">
    <webPr url="http://www.ip2location.net" htmlTables="1" htmlFormat="all"/>
  </connection>
  <connection id="10" name="Connection17" type="4" refreshedVersion="0" background="1">
    <webPr url="http://www.ip2location.net" htmlTables="1" htmlFormat="all"/>
  </connection>
  <connection id="11" name="Connection18" type="4" refreshedVersion="0" background="1">
    <webPr url="http://www.ip2location.net" htmlTables="1" htmlFormat="all"/>
  </connection>
  <connection id="12" name="Connection19" type="4" refreshedVersion="0" background="1">
    <webPr url="http://www.ip2location.net" htmlTables="1" htmlFormat="all"/>
  </connection>
  <connection id="13" name="Connection2" type="4" refreshedVersion="0" background="1">
    <webPr url="http://www.ip2location.net" htmlTables="1" htmlFormat="all"/>
  </connection>
  <connection id="14" name="Connection20" type="4" refreshedVersion="0" background="1">
    <webPr url="http://www.ip2location.net" htmlTables="1" htmlFormat="all"/>
  </connection>
  <connection id="15" name="Connection21" type="4" refreshedVersion="0" background="1">
    <webPr url="http://www.ip2location.net" htmlTables="1" htmlFormat="all"/>
  </connection>
  <connection id="16" name="Connection22" type="4" refreshedVersion="4" background="1" saveData="1">
    <webPr xl2000="1" url="http://geoiplookup.wikimedia.org/" htmlTables="1">
      <tables count="1">
        <x v="1"/>
      </tables>
    </webPr>
  </connection>
  <connection id="17" name="Connection3" type="4" refreshedVersion="0" background="1">
    <webPr url="http://www.ip2location.net" htmlTables="1" htmlFormat="all"/>
  </connection>
  <connection id="18" name="Connection4" type="4" refreshedVersion="0" background="1">
    <webPr url="http://www.iplocation.net" htmlTables="1" htmlFormat="all"/>
  </connection>
  <connection id="19" name="Connection5" type="4" refreshedVersion="0" background="1">
    <webPr url="http://www.iplocation.net" htmlTables="1" htmlFormat="all"/>
  </connection>
  <connection id="20" name="Connection6" type="4" refreshedVersion="0" background="1">
    <webPr url="http://www.iplocation.net" htmlTables="1" htmlFormat="all"/>
  </connection>
  <connection id="21" name="Connection7" type="4" refreshedVersion="0" background="1">
    <webPr url="http://www.ip2location.net" htmlTables="1" htmlFormat="all"/>
  </connection>
  <connection id="22" name="Connection8" type="4" refreshedVersion="0" background="1">
    <webPr url="http://www.iplocation.net" htmlTables="1" htmlFormat="all"/>
  </connection>
  <connection id="23" name="Connection9" type="4" refreshedVersion="0" background="1">
    <webPr url="http://www.iplocation.net" htmlTables="1" htmlFormat="all"/>
  </connection>
</connections>
</file>

<file path=xl/sharedStrings.xml><?xml version="1.0" encoding="utf-8"?>
<sst xmlns="http://schemas.openxmlformats.org/spreadsheetml/2006/main" count="676" uniqueCount="470">
  <si>
    <t>Place of interest</t>
  </si>
  <si>
    <t>Latitude and longitude</t>
  </si>
  <si>
    <t>Base url</t>
  </si>
  <si>
    <t>http://maps.google.co.uk/maps?</t>
  </si>
  <si>
    <t>Map type</t>
  </si>
  <si>
    <t>Zoom level</t>
  </si>
  <si>
    <t>embed</t>
  </si>
  <si>
    <t>Output</t>
  </si>
  <si>
    <t>Info window</t>
  </si>
  <si>
    <t>http://maps.google.com/maps/api/staticmap?</t>
  </si>
  <si>
    <t>&amp;center=</t>
  </si>
  <si>
    <t>&amp;zoom=</t>
  </si>
  <si>
    <t>&amp;size=</t>
  </si>
  <si>
    <t>&amp;maptype=</t>
  </si>
  <si>
    <t>&amp;markers=</t>
  </si>
  <si>
    <t>color:</t>
  </si>
  <si>
    <t>|label:</t>
  </si>
  <si>
    <t>|</t>
  </si>
  <si>
    <t>&amp;sensor=false</t>
  </si>
  <si>
    <t>roadmap</t>
  </si>
  <si>
    <t>red</t>
  </si>
  <si>
    <t>525x330</t>
  </si>
  <si>
    <t>A</t>
  </si>
  <si>
    <t>&amp;q=</t>
  </si>
  <si>
    <t>&amp;ll=</t>
  </si>
  <si>
    <t>&amp;t=</t>
  </si>
  <si>
    <t>&amp;z=</t>
  </si>
  <si>
    <t>&amp;output=</t>
  </si>
  <si>
    <t>&amp;iwloc=</t>
  </si>
  <si>
    <t>Size</t>
  </si>
  <si>
    <t>Markers</t>
  </si>
  <si>
    <t>Colour</t>
  </si>
  <si>
    <t>Letter</t>
  </si>
  <si>
    <t>Device has GPS?</t>
  </si>
  <si>
    <t>ss</t>
  </si>
  <si>
    <t>URL to visit - Google maps</t>
  </si>
  <si>
    <t>URL to visit - Google staticmap</t>
  </si>
  <si>
    <t>Regular Google Map</t>
  </si>
  <si>
    <t>Google Static Map</t>
  </si>
  <si>
    <t>Parameter code</t>
  </si>
  <si>
    <t>Paris</t>
  </si>
  <si>
    <t>London</t>
  </si>
  <si>
    <t>Rome</t>
  </si>
  <si>
    <t>Amsterdam</t>
  </si>
  <si>
    <t>Location</t>
  </si>
  <si>
    <t>Lat/long</t>
  </si>
  <si>
    <t>Lat</t>
  </si>
  <si>
    <t>Long</t>
  </si>
  <si>
    <t>Milan</t>
  </si>
  <si>
    <t>Munich</t>
  </si>
  <si>
    <t>Select location</t>
  </si>
  <si>
    <t>s</t>
  </si>
  <si>
    <t>51b Baker St, London</t>
  </si>
  <si>
    <t>Times Square, NY</t>
  </si>
  <si>
    <t>O'Malley's Bar, Dublin</t>
  </si>
  <si>
    <t>My location</t>
  </si>
  <si>
    <t>85.91.225.85</t>
  </si>
  <si>
    <t>IP Address</t>
  </si>
  <si>
    <t>Country</t>
  </si>
  <si>
    <t>ISP</t>
  </si>
  <si>
    <t>Time Zone</t>
  </si>
  <si>
    <t>Field Name</t>
  </si>
  <si>
    <t>Value</t>
  </si>
  <si>
    <t>UNITED KINGDOM</t>
  </si>
  <si>
    <t>Region &amp; City</t>
  </si>
  <si>
    <t>ENGLAND, CONGLETON</t>
  </si>
  <si>
    <t>Latitude &amp; Longitude</t>
  </si>
  <si>
    <t>53.163971, -2.21001</t>
  </si>
  <si>
    <t>ZIP Code</t>
  </si>
  <si>
    <t>-</t>
  </si>
  <si>
    <t>INTERNET CONNECTIONS LTD</t>
  </si>
  <si>
    <t>Domain</t>
  </si>
  <si>
    <t>AS34270.NET</t>
  </si>
  <si>
    <t>+00:00</t>
  </si>
  <si>
    <t>Net Speed</t>
  </si>
  <si>
    <t>DSL</t>
  </si>
  <si>
    <t>Area Code &amp; IDD Code</t>
  </si>
  <si>
    <t>Weather Station</t>
  </si>
  <si>
    <t>CONGLETON (UKXX0849)</t>
  </si>
  <si>
    <t>Mobile MCC, MNC, and Carrier name</t>
  </si>
  <si>
    <t>188.223.229.118</t>
  </si>
  <si>
    <t>-, -</t>
  </si>
  <si>
    <t>54.166997, -4.482106</t>
  </si>
  <si>
    <t>BE UN LIMITED</t>
  </si>
  <si>
    <t>BETHERE.CO.UK</t>
  </si>
  <si>
    <t>ESKMEALS (UKXX0233)</t>
  </si>
  <si>
    <t xml:space="preserve">Geo = {"city":"Erith","country":"GB","lat":"51.483299","lon":"0.200000","IP":"188.223.229.118","netmask":"24"} </t>
  </si>
  <si>
    <t>London, GB</t>
  </si>
  <si>
    <t>Distance matrix</t>
  </si>
  <si>
    <t>Instructions</t>
  </si>
  <si>
    <t>Distances between pairs of locations (row and column) are returned in the table.</t>
  </si>
  <si>
    <t>Address</t>
  </si>
  <si>
    <t>Add your locations as the headers of the table (Row 1)</t>
  </si>
  <si>
    <t>Béziers</t>
  </si>
  <si>
    <t>Köln</t>
  </si>
  <si>
    <t>Straßburg</t>
  </si>
  <si>
    <t>Almuñecar</t>
  </si>
  <si>
    <t>Alcobaça</t>
  </si>
  <si>
    <t>Kaohsiung Formosa Boulevard (MRT)</t>
  </si>
  <si>
    <t>Kaohsiung Ecological District (MRT)</t>
  </si>
  <si>
    <t>Kaohsiung Arena (MRT)</t>
  </si>
  <si>
    <t>Kaohsiung International Airport(MRT)</t>
  </si>
  <si>
    <t>Kaohsiung Arena(2)(MRT)</t>
  </si>
  <si>
    <t>Kaohsiung Museum of Fine Art</t>
  </si>
  <si>
    <t>Kaohsiung Film Archive</t>
  </si>
  <si>
    <t>Kaohsiung City Government Police Bureau</t>
  </si>
  <si>
    <t>Kaohsiung Girls' Senior High School</t>
  </si>
  <si>
    <t>National Kaohsiung Normal University</t>
  </si>
  <si>
    <t>Kaohsiung Medical University</t>
  </si>
  <si>
    <t>Kaohsiung Senior High school</t>
  </si>
  <si>
    <t>Kaohsiung First University of Science and Technology</t>
  </si>
  <si>
    <t>Kaohsiung Public Library(Youchang)</t>
  </si>
  <si>
    <t>Kaohsiung Municipal Kaohsiung Industrial High School</t>
  </si>
  <si>
    <t>Kaohsiung City Marine Bureau</t>
  </si>
  <si>
    <t>National Kaohsiung Marine University Cijin District(1)</t>
  </si>
  <si>
    <t>Kaohsiung General Post Office</t>
  </si>
  <si>
    <t>Kaohsiung Medical University (2)</t>
  </si>
  <si>
    <t>Kaohsiung Girls' Senior High School(2)</t>
  </si>
  <si>
    <t>National Kaohsiung Normal University(2)</t>
  </si>
  <si>
    <t>National Kaohsiung Marine University Cijin District(2)</t>
  </si>
  <si>
    <t>Kaohsiung Veterans General Hospital</t>
  </si>
  <si>
    <t>Kaohsiung Commercial High School</t>
  </si>
  <si>
    <t>Kaohsiung City Motor Vehicles Office</t>
  </si>
  <si>
    <t>Kaohsiung Chenai</t>
  </si>
  <si>
    <t>Kaohsiung Aozihdi (MRT)</t>
  </si>
  <si>
    <t>Kaohsiung Houyi (MRT)</t>
  </si>
  <si>
    <t>Kaohsiung Rear of Rail Station</t>
  </si>
  <si>
    <t>Kaohsiung Central Park (MRT)</t>
  </si>
  <si>
    <t>Kaohsiung Sanduo Shopping District (MRT)</t>
  </si>
  <si>
    <t>Kaohsiung Singuang Zhongshan</t>
  </si>
  <si>
    <t>Kaohsiung Shihjia (MRT)</t>
  </si>
  <si>
    <t>Kaohsiung Kaisyuan (MRT)</t>
  </si>
  <si>
    <t>Kaohsiung Sizihwan (MRT)</t>
  </si>
  <si>
    <t>Kaohsiung Yanchengpu (MRT)</t>
  </si>
  <si>
    <t>Kaohsiung City Council Former Site (MRT)</t>
  </si>
  <si>
    <t>Kaohsiung Sinsing District Office</t>
  </si>
  <si>
    <t>Kaohsiung Cultural Center (MRT)</t>
  </si>
  <si>
    <t>Kaohsiung Wukuaicuo (MRT)</t>
  </si>
  <si>
    <t>Kaohsiung Martial Arts Stadium (MRT)</t>
  </si>
  <si>
    <t>Kaohsiung Weiwuying(MRT)</t>
  </si>
  <si>
    <t>Kaohsiung Da-Dong Art Center -01</t>
  </si>
  <si>
    <t>Kaohsiung Fongshan (MRT)</t>
  </si>
  <si>
    <t>Kaohsiung Fongshan West(MRT)</t>
  </si>
  <si>
    <t>Kaohsiung Siaogang(MRT)</t>
  </si>
  <si>
    <t>Kaohsiung World Games(MRT)</t>
  </si>
  <si>
    <t>Kaohsiung Nanzih Export Processing Zone(MRT)</t>
  </si>
  <si>
    <t>Kaohsiung Metropolitan Park(MRT)</t>
  </si>
  <si>
    <t>Kaohsiung Cingpu(MRT)</t>
  </si>
  <si>
    <t>Kaohsiung Gangshan South( MRT)</t>
  </si>
  <si>
    <t>Kaohsiung Zuoying Station THSR</t>
  </si>
  <si>
    <t>Kaohsiung Caoya(MRT)</t>
  </si>
  <si>
    <t>Kaohsiung Fucheng Senior High School</t>
  </si>
  <si>
    <t>Kaohsiung Houyi(2)(MRT)</t>
  </si>
  <si>
    <t>Kaohsiung Central Park(2)(MRT)</t>
  </si>
  <si>
    <t>Kaohsiung Sanduo Shopping District(2)(MRT)</t>
  </si>
  <si>
    <t>Kaohsiung Cultural Center(2)(MRT)</t>
  </si>
  <si>
    <t>Kaohsiung Cianjhen Senior High School (MRT)</t>
  </si>
  <si>
    <t>Kaohsiung Daliao(MRT)</t>
  </si>
  <si>
    <t>Kaohsiung Xinzuoying(TRA)</t>
  </si>
  <si>
    <t>Kaohsiung Lotus Pond</t>
  </si>
  <si>
    <t>Kaohsiung Yucheng Xinhai</t>
  </si>
  <si>
    <t>Kaohsiung Mingcheng Guangsing</t>
  </si>
  <si>
    <t>Kaohsiung Huarong Park</t>
  </si>
  <si>
    <t>Kaohsiung Aozihdi Forest Park</t>
  </si>
  <si>
    <t>Kaohsiung Heart of Love River</t>
  </si>
  <si>
    <t>Kaohsiung National Science and Technology Museum</t>
  </si>
  <si>
    <t>Kaohsiung National Sun Yat-Sen University</t>
  </si>
  <si>
    <t>Kaohsiung Fisherman Wharf</t>
  </si>
  <si>
    <t>Kaohsiung Carrefour Love River Store</t>
  </si>
  <si>
    <t>Kaohsiung Ambassador Hotel</t>
  </si>
  <si>
    <t>Kaohsiung Cisian jhongsiao</t>
  </si>
  <si>
    <t>Kaohsiung Minsheng Roundabout</t>
  </si>
  <si>
    <t>Kaohsiung Minsheng Mingcheng</t>
  </si>
  <si>
    <t>Kaohsiung City Government - Sihwei Administration Center</t>
  </si>
  <si>
    <t>Kaohsiung Singuang Zhengkong</t>
  </si>
  <si>
    <t>Kaohsiung Mincyuan Park</t>
  </si>
  <si>
    <t>Kaohsiung Guanghua Park</t>
  </si>
  <si>
    <t>Kaohsiung Carrefour ZhengKong Store</t>
  </si>
  <si>
    <t>Kaohsiung Dream Mall</t>
  </si>
  <si>
    <t>Kaohsiung Smile Park</t>
  </si>
  <si>
    <t>Kaohsiung Fengshan Station</t>
  </si>
  <si>
    <t>Kaohsiung City Council(New)</t>
  </si>
  <si>
    <t>Kaohsiung Fongling Plaza</t>
  </si>
  <si>
    <t>Kaohsiung City Government Fongshan Administration Center</t>
  </si>
  <si>
    <t>Kaohsiung Chengcing Lake</t>
  </si>
  <si>
    <t>Kaohsiung Hospitality Junior High School</t>
  </si>
  <si>
    <t>Kaohsiung Social Education Center</t>
  </si>
  <si>
    <t>Kaohsiung Banchao Park</t>
  </si>
  <si>
    <t>Kaohsiung Bo Ai Elementary School</t>
  </si>
  <si>
    <t>Kaohsiung Hakka Culture Gallary</t>
  </si>
  <si>
    <t>Kaohsiung Mingti Park</t>
  </si>
  <si>
    <t>Kaohsiung Zuoying Elementary school</t>
  </si>
  <si>
    <t>Kaohsiung World Games</t>
  </si>
  <si>
    <t>Kaohsiung Jiachang Elementary School</t>
  </si>
  <si>
    <t>Kaohsiung Gangshan District Office</t>
  </si>
  <si>
    <t>Kaohsiung Sun Yat-Sen Alumni House</t>
  </si>
  <si>
    <t>Kaohsiung Dragon and Tiger Pagoda</t>
  </si>
  <si>
    <t>Kaohsiung China Ship Building Corporation</t>
  </si>
  <si>
    <t>Kaohsiung Jinshi Lake Bus Station</t>
  </si>
  <si>
    <t>Kaohsiung Wenzao Ursuline College of Languages</t>
  </si>
  <si>
    <t>Kaohsiung Jhuang Jing Park</t>
  </si>
  <si>
    <t>Kaohsiung Ding Jin Elementary School</t>
  </si>
  <si>
    <t>Kaohsiung Tsoying Senior High School</t>
  </si>
  <si>
    <t>Kaohsiung Garden Villa</t>
  </si>
  <si>
    <t>Kaohsiung Confucius Temple</t>
  </si>
  <si>
    <t>Kaohsiung Fogong Elementary School</t>
  </si>
  <si>
    <t>Kaohsiung Ersheng Park</t>
  </si>
  <si>
    <t>Kaohsiung Saint Dominic Catholic High School</t>
  </si>
  <si>
    <t>Kaohsiung Ying Ming Park</t>
  </si>
  <si>
    <t>Kaohsiung Siwei Park</t>
  </si>
  <si>
    <t>Kaohsiung Chengshiu University</t>
  </si>
  <si>
    <t>Kaohsiung Minzu Bade</t>
  </si>
  <si>
    <t>Kaohsiung National University Of Kaohsiung</t>
  </si>
  <si>
    <t>Kaohsiung Chungshan Senior High School</t>
  </si>
  <si>
    <t>Kaohsiung Lonhua Elementary School</t>
  </si>
  <si>
    <t>Kaohsiung Nanhua Market</t>
  </si>
  <si>
    <t>Kaohsiung City Government- Sihwei Administration Center (2)</t>
  </si>
  <si>
    <t>Kaohsiung Guanghua Park(2)</t>
  </si>
  <si>
    <t>Kaohsiung Feng-Hsin Senior High School</t>
  </si>
  <si>
    <t>Kaohsiung Meishuguan Makatao</t>
  </si>
  <si>
    <t>Kaohsiung Fushan Square</t>
  </si>
  <si>
    <t>Kaohsiung Agongdian Reservoir</t>
  </si>
  <si>
    <t>Kaohsiung Baoye Flood Detention Park</t>
  </si>
  <si>
    <t>Kaohsiung Yangming Skating Rink</t>
  </si>
  <si>
    <t>Kaohsiung Heroes Temple</t>
  </si>
  <si>
    <t>Kaohsiung Dingtai Square</t>
  </si>
  <si>
    <t>Kaohsiung Pinghe Parking Lot</t>
  </si>
  <si>
    <t>Kaohsiung Siaogang District Office</t>
  </si>
  <si>
    <t>Kaohsiung Daliao District Office</t>
  </si>
  <si>
    <t>Kaohsiung Fortune Institute of Technology 1</t>
  </si>
  <si>
    <t>Kaohsiung Fooyin University</t>
  </si>
  <si>
    <t>Kaohsiung Rotary Park</t>
  </si>
  <si>
    <t>Kaohsiung Gangshan Riverbank Park</t>
  </si>
  <si>
    <t>Kaohsiung Gangshan Taxation Office</t>
  </si>
  <si>
    <t>Kaohsiung Gangshan Zhongxiao Village</t>
  </si>
  <si>
    <t>Kaohsiung Indigenous Affairs Commission</t>
  </si>
  <si>
    <t>Kaohsiung Fire Bureau</t>
  </si>
  <si>
    <t>Kaohsiung Qianzhen Export Processing Zone 1</t>
  </si>
  <si>
    <t>Kaohsiung Fuyu Parking Lot</t>
  </si>
  <si>
    <t>Kaohsiung Cultural Center</t>
  </si>
  <si>
    <t>Kaohsiung Zhengyi Market</t>
  </si>
  <si>
    <t>Kaohsiung Nanzi Cuibing</t>
  </si>
  <si>
    <t>Kaohsiung Fenghsin Senior High School 2</t>
  </si>
  <si>
    <t>Kaohsiung Aozihdi Forest Park 2</t>
  </si>
  <si>
    <t>Kaohsiung Singda Harbor</t>
  </si>
  <si>
    <t>Kaohsiung Hsiaokang Hospital</t>
  </si>
  <si>
    <t>Kaohsiung Ziyou Market</t>
  </si>
  <si>
    <t>Kaohsiung Wun-Shan Senior High School</t>
  </si>
  <si>
    <t>Kaohsiung City Government - Fongshan Administration Center 2</t>
  </si>
  <si>
    <t>Lotus Pond</t>
  </si>
  <si>
    <t>Yucheng Xinhai</t>
  </si>
  <si>
    <t>Mingcheng Guangsing</t>
  </si>
  <si>
    <t>Huarong Park</t>
  </si>
  <si>
    <t>Aozihdi Forest Park</t>
  </si>
  <si>
    <t>Heart of Love River</t>
  </si>
  <si>
    <t>National Science and Technology Museum</t>
  </si>
  <si>
    <t>National Sun Yat-Sen University</t>
  </si>
  <si>
    <t>Fisherman's Wharf</t>
  </si>
  <si>
    <t>Carrefour Love River Store</t>
  </si>
  <si>
    <t>Ambassador Hotel</t>
  </si>
  <si>
    <t>Cisian jhongsiao</t>
  </si>
  <si>
    <t>Minsheng Roundabout</t>
  </si>
  <si>
    <t>Minsheng Mingcheng</t>
  </si>
  <si>
    <t>City Government - Sihwei Administration Center</t>
  </si>
  <si>
    <t>Singuang Zhengkong</t>
  </si>
  <si>
    <t>Mincyuan Park</t>
  </si>
  <si>
    <t>Guanghua Park</t>
  </si>
  <si>
    <t>Carrefour ZhengKong Store</t>
  </si>
  <si>
    <t>Dream Mall</t>
  </si>
  <si>
    <t>Smile Park</t>
  </si>
  <si>
    <t>Fengshan Station</t>
  </si>
  <si>
    <t>City Council(New)</t>
  </si>
  <si>
    <t>Fongling Plaza</t>
  </si>
  <si>
    <t>City Government Fongshan Administration Center</t>
  </si>
  <si>
    <t>Chengcing Lake</t>
  </si>
  <si>
    <t>Hospitality Junior High School</t>
  </si>
  <si>
    <t>Social Education Center</t>
  </si>
  <si>
    <t>Banchao Park</t>
  </si>
  <si>
    <t>Bo Ai Elementary School</t>
  </si>
  <si>
    <t>Hakka Culture Gallary</t>
  </si>
  <si>
    <t>Mingti Park</t>
  </si>
  <si>
    <t>Zuoying Elementary school</t>
  </si>
  <si>
    <t>World Games</t>
  </si>
  <si>
    <t>Jiachang Elementary School</t>
  </si>
  <si>
    <t>Gangshan District Office</t>
  </si>
  <si>
    <t>Sun Yat-Sen Alumni House</t>
  </si>
  <si>
    <t>Dragon and Tiger Pagoda</t>
  </si>
  <si>
    <t>China Ship Building Corporation</t>
  </si>
  <si>
    <t>Jinshi Lake Bus Station</t>
  </si>
  <si>
    <t>Wenzao Ursuline College of Languages</t>
  </si>
  <si>
    <t>Jhuang Jing Park</t>
  </si>
  <si>
    <t>Ding Jin Elementary School</t>
  </si>
  <si>
    <t>Tsoying Senior High School</t>
  </si>
  <si>
    <t>Garden Villa</t>
  </si>
  <si>
    <t>Confucius Temple</t>
  </si>
  <si>
    <t>Fogong Elementary School</t>
  </si>
  <si>
    <t>Ersheng Park</t>
  </si>
  <si>
    <t>Saint Dominic Catholic High School</t>
  </si>
  <si>
    <t>Ying Ming Park</t>
  </si>
  <si>
    <t>Siwei Park</t>
  </si>
  <si>
    <t>Chengshiu University</t>
  </si>
  <si>
    <t>Minzu Bade</t>
  </si>
  <si>
    <t>National University Of Kaohsiung</t>
  </si>
  <si>
    <t>Chungshan Senior High School</t>
  </si>
  <si>
    <t>Lonhua Elementary School</t>
  </si>
  <si>
    <t>Nanhua Market</t>
  </si>
  <si>
    <t>City Government- Sihwei Administration Center (2)</t>
  </si>
  <si>
    <t>Guanghua Park(2)</t>
  </si>
  <si>
    <t>Feng-Hsin Senior High School</t>
  </si>
  <si>
    <t>Meishuguan Makatao</t>
  </si>
  <si>
    <t>Fushan Square</t>
  </si>
  <si>
    <t>Agongdian Reservoir</t>
  </si>
  <si>
    <t>Chengcing Lake(2)</t>
  </si>
  <si>
    <t>Baoye Flood Detention Park</t>
  </si>
  <si>
    <t>Yangming Skating Rink</t>
  </si>
  <si>
    <t>Heroes Temple</t>
  </si>
  <si>
    <t>Dingtai Square</t>
  </si>
  <si>
    <t>Pinghe Parking Lot</t>
  </si>
  <si>
    <t>Siaogang District Office</t>
  </si>
  <si>
    <t>Daliao District Office</t>
  </si>
  <si>
    <t>Fortune Institute of Technology 1</t>
  </si>
  <si>
    <t>Fortune Institute of Technology 2</t>
  </si>
  <si>
    <t>Fooyin University</t>
  </si>
  <si>
    <t>Rotary Park</t>
  </si>
  <si>
    <t>Gangshan Riverbank Park</t>
  </si>
  <si>
    <t>Gangshan Taxation Office</t>
  </si>
  <si>
    <t>Gangshan Zhongxiao Village</t>
  </si>
  <si>
    <t>Indigenous Affairs Commission</t>
  </si>
  <si>
    <t>Fire Bureau</t>
  </si>
  <si>
    <t>Qianzhen Export Processing Zone 1</t>
  </si>
  <si>
    <t>Qianzhen Export Processing Zone 2</t>
  </si>
  <si>
    <t>Fuyu Parking Lot</t>
  </si>
  <si>
    <t>Cultural Center</t>
  </si>
  <si>
    <t>Zhengyi Market</t>
  </si>
  <si>
    <t>Nanzi Cuibing</t>
  </si>
  <si>
    <t>Fenghsin Senior High School 2</t>
  </si>
  <si>
    <t>Aozihdi Forest Park 2</t>
  </si>
  <si>
    <t>Singda Harbor</t>
  </si>
  <si>
    <t>Hsiaokang Hospital</t>
  </si>
  <si>
    <t>Ziyou Market</t>
  </si>
  <si>
    <t>Wun-Shan Senior High School</t>
  </si>
  <si>
    <t>City Government - Fongshan Administration Center 2</t>
  </si>
  <si>
    <t>Chengcing Lake 3</t>
  </si>
  <si>
    <t>Chengcing Lake 4</t>
  </si>
  <si>
    <t>Chengcing Lake 5</t>
  </si>
  <si>
    <t>蓮池潭站</t>
  </si>
  <si>
    <t>裕誠辛亥站</t>
  </si>
  <si>
    <t>明誠光興站</t>
  </si>
  <si>
    <t>華榮公園站</t>
  </si>
  <si>
    <t>森林公園站</t>
  </si>
  <si>
    <t>鳳山火車站</t>
  </si>
  <si>
    <t>愛河之心站</t>
  </si>
  <si>
    <t>科工館站</t>
  </si>
  <si>
    <t>中山大學站</t>
  </si>
  <si>
    <t>漁人碼頭站</t>
  </si>
  <si>
    <t>高雄電影館站</t>
  </si>
  <si>
    <t>家樂福愛河站</t>
  </si>
  <si>
    <t>市警局站</t>
  </si>
  <si>
    <t>國賓飯店站</t>
  </si>
  <si>
    <t>高雄女中站</t>
  </si>
  <si>
    <t>七賢忠孝站</t>
  </si>
  <si>
    <t>民生圓環站</t>
  </si>
  <si>
    <t>民生民權站</t>
  </si>
  <si>
    <t>市府四維站</t>
  </si>
  <si>
    <t>文化師大站</t>
  </si>
  <si>
    <t>新光成功站</t>
  </si>
  <si>
    <t>民權公園站</t>
  </si>
  <si>
    <t>光華公園站</t>
  </si>
  <si>
    <t>家樂福成功站</t>
  </si>
  <si>
    <t>夢時代站</t>
  </si>
  <si>
    <t>高雄醫學大學站</t>
  </si>
  <si>
    <t>美術館藝片天站</t>
  </si>
  <si>
    <t>市議會(新址)站</t>
  </si>
  <si>
    <t>鳳凌廣場站</t>
  </si>
  <si>
    <t>市府鳳山行政中心站</t>
  </si>
  <si>
    <t>澄清湖站</t>
  </si>
  <si>
    <t>餐旅國中站</t>
  </si>
  <si>
    <t>社教館站</t>
  </si>
  <si>
    <t>班超公園站</t>
  </si>
  <si>
    <t>高雄中學站</t>
  </si>
  <si>
    <t>博愛國小站</t>
  </si>
  <si>
    <t>客家文物館站</t>
  </si>
  <si>
    <t>明堤公園站</t>
  </si>
  <si>
    <t>微笑公園站</t>
  </si>
  <si>
    <t>左營國小站</t>
  </si>
  <si>
    <t>世運主場館站</t>
  </si>
  <si>
    <t>加昌國小站</t>
  </si>
  <si>
    <t>高雄第一科技大學站</t>
  </si>
  <si>
    <t>岡山區公所站</t>
  </si>
  <si>
    <t>西子樓站</t>
  </si>
  <si>
    <t>龍虎塔站</t>
  </si>
  <si>
    <t>右昌圖書館站</t>
  </si>
  <si>
    <t>中鋼台船站</t>
  </si>
  <si>
    <t>金獅湖站</t>
  </si>
  <si>
    <t>文藻外語站</t>
  </si>
  <si>
    <t>莊敬公園站</t>
  </si>
  <si>
    <t>高雄高工站</t>
  </si>
  <si>
    <t>鼎金國小站</t>
  </si>
  <si>
    <t>左營高中站</t>
  </si>
  <si>
    <t>蓮潭會館站</t>
  </si>
  <si>
    <t>孔廟站</t>
  </si>
  <si>
    <t>佛公國小站</t>
  </si>
  <si>
    <t>海洋局站</t>
  </si>
  <si>
    <t>二聖公園站</t>
  </si>
  <si>
    <t>道明中學站</t>
  </si>
  <si>
    <t>英明公園站</t>
  </si>
  <si>
    <t>四維公園站</t>
  </si>
  <si>
    <t>正修大學站</t>
  </si>
  <si>
    <t>民族八德站</t>
  </si>
  <si>
    <t>高雄大學站</t>
  </si>
  <si>
    <t>中山高中站</t>
  </si>
  <si>
    <t>龍華國小站</t>
  </si>
  <si>
    <t>海科大旗津站(1)</t>
  </si>
  <si>
    <t>高雄醫學大學站(2)</t>
  </si>
  <si>
    <t>高雄女中站(2)</t>
  </si>
  <si>
    <t>市府四維站(2)</t>
  </si>
  <si>
    <t>文化師大站(2)</t>
  </si>
  <si>
    <t>光華公園站(2)</t>
  </si>
  <si>
    <t>海科大旗津站(2)</t>
  </si>
  <si>
    <t>鳳新高中站</t>
  </si>
  <si>
    <t>美術館馬卡道站</t>
  </si>
  <si>
    <t>福山廣場站</t>
  </si>
  <si>
    <t>阿公店水庫站</t>
  </si>
  <si>
    <t>澄清湖站(2)</t>
  </si>
  <si>
    <t>寶業里滯洪池站</t>
  </si>
  <si>
    <t>陽明溜冰場站</t>
  </si>
  <si>
    <t>義民廟站</t>
  </si>
  <si>
    <t>鼎泰廣場站</t>
  </si>
  <si>
    <t>平和停車場站</t>
  </si>
  <si>
    <t>小港區公所站</t>
  </si>
  <si>
    <t>和春技術學院站(1)</t>
  </si>
  <si>
    <t>和春技術學院站(2)</t>
  </si>
  <si>
    <t>輔英科技大學站</t>
  </si>
  <si>
    <t>扶輪公園站</t>
  </si>
  <si>
    <t>高雄榮總站</t>
  </si>
  <si>
    <t>岡山河堤公園站</t>
  </si>
  <si>
    <t>岡山稽徵所站</t>
  </si>
  <si>
    <t>岡山忠孝里站</t>
  </si>
  <si>
    <t>原民會站</t>
  </si>
  <si>
    <t>消防局站</t>
  </si>
  <si>
    <t>前鎮加工區站(1)</t>
  </si>
  <si>
    <t>前鎮加工區站(2)</t>
  </si>
  <si>
    <t>福裕停車場站</t>
  </si>
  <si>
    <t>文化中心站</t>
  </si>
  <si>
    <t>正義市場站</t>
  </si>
  <si>
    <t>高雄高商站</t>
  </si>
  <si>
    <t>高雄監理所站</t>
  </si>
  <si>
    <t>楠梓翠屏站</t>
  </si>
  <si>
    <t>鳳新高中站(2)</t>
  </si>
  <si>
    <t>森林公園站(2)</t>
  </si>
  <si>
    <t>高雄真愛館站</t>
  </si>
  <si>
    <t>興達港站</t>
  </si>
  <si>
    <t>小港醫院站</t>
  </si>
  <si>
    <t>自由市場站</t>
  </si>
  <si>
    <t>文山高中站</t>
  </si>
  <si>
    <t>市府鳳山行政中心站(2)</t>
  </si>
  <si>
    <t>澄清湖站(3)</t>
  </si>
  <si>
    <t>澄清湖站(4)</t>
  </si>
  <si>
    <t>澄清湖站(5)</t>
  </si>
  <si>
    <t>大寮區公所站</t>
  </si>
  <si>
    <t>22.680552, 120.297372</t>
  </si>
  <si>
    <t>22°40'50.0"N 120°17'50.5"E</t>
  </si>
  <si>
    <t>Huantan Rd, Zuoying District, Kaohsiung City, 813</t>
  </si>
  <si>
    <t>辛亥公共停車場</t>
  </si>
  <si>
    <t>22°39'39.5"N 120°18'37.7"E</t>
  </si>
  <si>
    <t>22.660976, 120.310470</t>
  </si>
  <si>
    <t>No. 178, Mingcheng 2nd Rd, Zuoying District, Kaohsiung City, Taiwan 813</t>
  </si>
  <si>
    <t>No. 232, Huarong Rd, Gushan District, Kaohsiung City, Taiwan 804</t>
  </si>
  <si>
    <t>22.664331, 120.297129</t>
  </si>
  <si>
    <t>22°39'51.6"N 120°17'49.7"E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</si>
</sst>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.00_-;\-* #,##0.00_-;_-* &quot;-&quot;??_-;_-@_-"/>
    <numFmt numFmtId="165" formatCode="_-* #,##0_-;\-* #,##0_-;_-* &quot;-&quot;??_-;_-@_-"/>
    <numFmt numFmtId="166" formatCode="0.0"/>
  </numFmts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0"/>
      </patternFill>
    </fill>
    <fill>
      <patternFill patternType="solid">
        <fgColor theme="4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164" fontId="4" fillId="0" borderId="0" applyFont="0" applyFill="0" applyBorder="0" applyAlignment="0" applyProtection="0"/>
    <xf numFmtId="0" fontId="7" fillId="0" borderId="0"/>
  </cellStyleXfs>
  <cellXfs count="33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2" xfId="0" applyFont="1" applyBorder="1"/>
    <xf numFmtId="0" fontId="0" fillId="0" borderId="4" xfId="0" applyBorder="1"/>
    <xf numFmtId="0" fontId="0" fillId="0" borderId="5" xfId="0" applyBorder="1"/>
    <xf numFmtId="0" fontId="0" fillId="0" borderId="1" xfId="0" quotePrefix="1" applyBorder="1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3" fillId="0" borderId="0" xfId="0" applyFont="1"/>
    <xf numFmtId="165" fontId="0" fillId="0" borderId="0" xfId="2" applyNumberFormat="1" applyFont="1"/>
    <xf numFmtId="165" fontId="0" fillId="0" borderId="0" xfId="2" applyNumberFormat="1" applyFont="1" applyBorder="1"/>
    <xf numFmtId="0" fontId="0" fillId="0" borderId="0" xfId="0" applyFont="1" applyBorder="1"/>
    <xf numFmtId="0" fontId="5" fillId="0" borderId="0" xfId="0" applyFont="1"/>
    <xf numFmtId="0" fontId="5" fillId="0" borderId="0" xfId="0" applyNumberFormat="1" applyFont="1"/>
    <xf numFmtId="0" fontId="0" fillId="0" borderId="0" xfId="0" applyAlignment="1">
      <alignment textRotation="45"/>
    </xf>
    <xf numFmtId="0" fontId="6" fillId="0" borderId="0" xfId="0" applyFont="1"/>
    <xf numFmtId="164" fontId="0" fillId="0" borderId="0" xfId="2" applyNumberFormat="1" applyFont="1" applyBorder="1"/>
    <xf numFmtId="0" fontId="8" fillId="3" borderId="6" xfId="3" applyFont="1" applyFill="1" applyBorder="1" applyAlignment="1">
      <alignment horizontal="center"/>
    </xf>
    <xf numFmtId="0" fontId="6" fillId="4" borderId="1" xfId="0" applyNumberFormat="1" applyFont="1" applyFill="1" applyBorder="1" applyAlignment="1">
      <alignment horizontal="center" vertical="center"/>
    </xf>
    <xf numFmtId="166" fontId="0" fillId="0" borderId="0" xfId="0" applyNumberFormat="1"/>
    <xf numFmtId="166" fontId="6" fillId="0" borderId="0" xfId="0" applyNumberFormat="1" applyFont="1"/>
    <xf numFmtId="0" fontId="0" fillId="0" borderId="0" xfId="0" applyFont="1"/>
    <xf numFmtId="2" fontId="0" fillId="0" borderId="0" xfId="0" applyNumberFormat="1"/>
    <xf numFmtId="0" fontId="0" fillId="0" borderId="0" xfId="0" applyNumberFormat="1"/>
    <xf numFmtId="166" fontId="0" fillId="0" borderId="0" xfId="0" applyNumberFormat="1" applyFont="1"/>
    <xf numFmtId="0" fontId="0" fillId="0" borderId="0" xfId="0" applyAlignment="1">
      <alignment horizontal="left" vertical="center"/>
    </xf>
    <xf numFmtId="0" fontId="10" fillId="0" borderId="0" xfId="0" applyFont="1" applyAlignment="1">
      <alignment horizontal="left" vertical="center"/>
    </xf>
  </cellXfs>
  <cellStyles count="4">
    <cellStyle name="Comma" xfId="2" builtinId="3"/>
    <cellStyle name="Hyperlink" xfId="1" builtinId="8"/>
    <cellStyle name="Normal" xfId="0" builtinId="0"/>
    <cellStyle name="Normal_AddressFiller" xfId="3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numFmt numFmtId="165" formatCode="_-* #,##0_-;\-* #,##0_-;_-* &quot;-&quot;??_-;_-@_-"/>
      <fill>
        <patternFill patternType="solid"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79"/>
  <ax:ocxPr ax:name="ExtentY" ax:value="53"/>
  <ax:ocxPr ax:name="ViewMode" ax:value="0"/>
  <ax:ocxPr ax:name="Offline" ax:value="0"/>
  <ax:ocxPr ax:name="Silent" ax:value="1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://maps.google.com/maps/api/staticmap?&amp;zoom=15&amp;size=525x330&amp;maptype=roadmap&amp;markers=color:red|label:A|51.5073346,-0.1276831&amp;sensor=false"/>
</ax:ocx>
</file>

<file path=xl/activeX/activeX2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53"/>
  <ax:ocxPr ax:name="ExtentY" ax:value="53"/>
  <ax:ocxPr ax:name="ViewMode" ax:value="0"/>
  <ax:ocxPr ax:name="Offline" ax:value="0"/>
  <ax:ocxPr ax:name="Silent" ax:value="1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://maps.google.co.uk/maps?&amp;ll=51.5073346,-0.1276831&amp;t=s&amp;z=15&amp;output=embed&amp;iwloc=ss"/>
</ax:ocx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57150</xdr:rowOff>
        </xdr:from>
        <xdr:to>
          <xdr:col>6</xdr:col>
          <xdr:colOff>209550</xdr:colOff>
          <xdr:row>29</xdr:row>
          <xdr:rowOff>133350</xdr:rowOff>
        </xdr:to>
        <xdr:sp macro="" textlink="">
          <xdr:nvSpPr>
            <xdr:cNvPr id="1026" name="WebBrowse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11</xdr:row>
          <xdr:rowOff>57150</xdr:rowOff>
        </xdr:from>
        <xdr:to>
          <xdr:col>13</xdr:col>
          <xdr:colOff>142875</xdr:colOff>
          <xdr:row>29</xdr:row>
          <xdr:rowOff>123825</xdr:rowOff>
        </xdr:to>
        <xdr:sp macro="" textlink="">
          <xdr:nvSpPr>
            <xdr:cNvPr id="1028" name="WebBrowse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381000</xdr:colOff>
          <xdr:row>44</xdr:row>
          <xdr:rowOff>76200</xdr:rowOff>
        </xdr:from>
        <xdr:to>
          <xdr:col>111</xdr:col>
          <xdr:colOff>95250</xdr:colOff>
          <xdr:row>46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distances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tempTable_1" connectionId="16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e1" displayName="Table1" ref="A1:E7" totalsRowShown="0">
  <autoFilter ref="A1:E7"/>
  <tableColumns count="5">
    <tableColumn id="1" name="Location"/>
    <tableColumn id="2" name="Lat/long">
      <calculatedColumnFormula>G_LATLNG(A2)</calculatedColumnFormula>
    </tableColumn>
    <tableColumn id="3" name="Lat" dataDxfId="12">
      <calculatedColumnFormula>G_LAT(A2)</calculatedColumnFormula>
    </tableColumn>
    <tableColumn id="4" name="Long" dataDxfId="11">
      <calculatedColumnFormula>G_LONG(A2)</calculatedColumnFormula>
    </tableColumn>
    <tableColumn id="5" name="Address" dataDxfId="10">
      <calculatedColumnFormula>G_ADDRESS(Table1[[#This Row],[Location]])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G8" totalsRowShown="0" dataDxfId="9" dataCellStyle="Comma">
  <autoFilter ref="A1:G8"/>
  <tableColumns count="7">
    <tableColumn id="1" name="Distance matrix" dataDxfId="8" dataCellStyle="Comma"/>
    <tableColumn id="2" name="Kaohsiung Formosa Boulevard (MRT)" dataDxfId="7" dataCellStyle="Comma">
      <calculatedColumnFormula>G_Duration(A2,A2)</calculatedColumnFormula>
    </tableColumn>
    <tableColumn id="3" name="Béziers" dataDxfId="6" dataCellStyle="Comma"/>
    <tableColumn id="4" name="Köln" dataDxfId="5" dataCellStyle="Comma"/>
    <tableColumn id="5" name="Straßburg" dataDxfId="4" dataCellStyle="Comma"/>
    <tableColumn id="6" name="Almuñecar" dataDxfId="3" dataCellStyle="Comma"/>
    <tableColumn id="7" name="Alcobaça" dataDxfId="2" dataCellStyle="Comma">
      <calculatedColumnFormula>G_DISTANCE($A2,G$1)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B13:B26" totalsRowShown="0" dataDxfId="1">
  <autoFilter ref="B13:B26"/>
  <tableColumns count="1">
    <tableColumn id="1" name="Select location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c-bike.com.tw/english/StationShow.aspx?sid=69" TargetMode="External"/><Relationship Id="rId21" Type="http://schemas.openxmlformats.org/officeDocument/2006/relationships/hyperlink" Target="http://www.c-bike.com.tw/StationShow.aspx?sid=42" TargetMode="External"/><Relationship Id="rId42" Type="http://schemas.openxmlformats.org/officeDocument/2006/relationships/hyperlink" Target="http://www.c-bike.com.tw/StationShow.aspx?sid=120" TargetMode="External"/><Relationship Id="rId63" Type="http://schemas.openxmlformats.org/officeDocument/2006/relationships/hyperlink" Target="http://www.c-bike.com.tw/StationShow.aspx?sid=149" TargetMode="External"/><Relationship Id="rId84" Type="http://schemas.openxmlformats.org/officeDocument/2006/relationships/hyperlink" Target="http://www.c-bike.com.tw/StationShow.aspx?sid=256" TargetMode="External"/><Relationship Id="rId138" Type="http://schemas.openxmlformats.org/officeDocument/2006/relationships/hyperlink" Target="http://www.c-bike.com.tw/english/StationShow.aspx?sid=92" TargetMode="External"/><Relationship Id="rId159" Type="http://schemas.openxmlformats.org/officeDocument/2006/relationships/hyperlink" Target="http://www.c-bike.com.tw/english/StationShow.aspx?sid=206" TargetMode="External"/><Relationship Id="rId170" Type="http://schemas.openxmlformats.org/officeDocument/2006/relationships/hyperlink" Target="http://www.c-bike.com.tw/english/StationShow.aspx?sid=218" TargetMode="External"/><Relationship Id="rId191" Type="http://schemas.openxmlformats.org/officeDocument/2006/relationships/hyperlink" Target="http://www.c-bike.com.tw/english/StationShow.aspx?sid=240" TargetMode="External"/><Relationship Id="rId205" Type="http://schemas.openxmlformats.org/officeDocument/2006/relationships/hyperlink" Target="http://www.c-bike.com.tw/english/StationShow.aspx?sid=292" TargetMode="External"/><Relationship Id="rId226" Type="http://schemas.openxmlformats.org/officeDocument/2006/relationships/hyperlink" Target="http://www.c-bike.com.tw/english/StationShow.aspx?sid=328" TargetMode="External"/><Relationship Id="rId107" Type="http://schemas.openxmlformats.org/officeDocument/2006/relationships/hyperlink" Target="http://www.c-bike.com.tw/StationShow.aspx?sid=319" TargetMode="External"/><Relationship Id="rId11" Type="http://schemas.openxmlformats.org/officeDocument/2006/relationships/hyperlink" Target="http://www.c-bike.com.tw/StationShow.aspx?sid=30" TargetMode="External"/><Relationship Id="rId32" Type="http://schemas.openxmlformats.org/officeDocument/2006/relationships/hyperlink" Target="http://www.c-bike.com.tw/StationShow.aspx?sid=108" TargetMode="External"/><Relationship Id="rId53" Type="http://schemas.openxmlformats.org/officeDocument/2006/relationships/hyperlink" Target="http://www.c-bike.com.tw/StationShow.aspx?sid=134" TargetMode="External"/><Relationship Id="rId74" Type="http://schemas.openxmlformats.org/officeDocument/2006/relationships/hyperlink" Target="http://www.c-bike.com.tw/StationShow.aspx?sid=168" TargetMode="External"/><Relationship Id="rId128" Type="http://schemas.openxmlformats.org/officeDocument/2006/relationships/hyperlink" Target="http://www.c-bike.com.tw/english/StationShow.aspx?sid=81" TargetMode="External"/><Relationship Id="rId149" Type="http://schemas.openxmlformats.org/officeDocument/2006/relationships/hyperlink" Target="http://www.c-bike.com.tw/english/StationShow.aspx?sid=196" TargetMode="External"/><Relationship Id="rId5" Type="http://schemas.openxmlformats.org/officeDocument/2006/relationships/hyperlink" Target="http://www.c-bike.com.tw/StationShow.aspx?sid=24" TargetMode="External"/><Relationship Id="rId95" Type="http://schemas.openxmlformats.org/officeDocument/2006/relationships/hyperlink" Target="http://www.c-bike.com.tw/StationShow.aspx?sid=271" TargetMode="External"/><Relationship Id="rId160" Type="http://schemas.openxmlformats.org/officeDocument/2006/relationships/hyperlink" Target="http://www.c-bike.com.tw/english/StationShow.aspx?sid=207" TargetMode="External"/><Relationship Id="rId181" Type="http://schemas.openxmlformats.org/officeDocument/2006/relationships/hyperlink" Target="http://www.c-bike.com.tw/english/StationShow.aspx?sid=229" TargetMode="External"/><Relationship Id="rId216" Type="http://schemas.openxmlformats.org/officeDocument/2006/relationships/hyperlink" Target="http://www.c-bike.com.tw/english/StationShow.aspx?sid=308" TargetMode="External"/><Relationship Id="rId22" Type="http://schemas.openxmlformats.org/officeDocument/2006/relationships/hyperlink" Target="http://www.c-bike.com.tw/StationShow.aspx?sid=43" TargetMode="External"/><Relationship Id="rId43" Type="http://schemas.openxmlformats.org/officeDocument/2006/relationships/hyperlink" Target="http://www.c-bike.com.tw/StationShow.aspx?sid=122" TargetMode="External"/><Relationship Id="rId64" Type="http://schemas.openxmlformats.org/officeDocument/2006/relationships/hyperlink" Target="http://www.c-bike.com.tw/StationShow.aspx?sid=152" TargetMode="External"/><Relationship Id="rId118" Type="http://schemas.openxmlformats.org/officeDocument/2006/relationships/hyperlink" Target="http://www.c-bike.com.tw/english/StationShow.aspx?sid=70" TargetMode="External"/><Relationship Id="rId139" Type="http://schemas.openxmlformats.org/officeDocument/2006/relationships/hyperlink" Target="http://www.c-bike.com.tw/english/StationShow.aspx?sid=93" TargetMode="External"/><Relationship Id="rId85" Type="http://schemas.openxmlformats.org/officeDocument/2006/relationships/hyperlink" Target="http://www.c-bike.com.tw/StationShow.aspx?sid=257" TargetMode="External"/><Relationship Id="rId150" Type="http://schemas.openxmlformats.org/officeDocument/2006/relationships/hyperlink" Target="http://www.c-bike.com.tw/english/StationShow.aspx?sid=197" TargetMode="External"/><Relationship Id="rId171" Type="http://schemas.openxmlformats.org/officeDocument/2006/relationships/hyperlink" Target="http://www.c-bike.com.tw/english/StationShow.aspx?sid=219" TargetMode="External"/><Relationship Id="rId192" Type="http://schemas.openxmlformats.org/officeDocument/2006/relationships/hyperlink" Target="http://www.c-bike.com.tw/english/StationShow.aspx?sid=242" TargetMode="External"/><Relationship Id="rId206" Type="http://schemas.openxmlformats.org/officeDocument/2006/relationships/hyperlink" Target="http://www.c-bike.com.tw/english/StationShow.aspx?sid=294" TargetMode="External"/><Relationship Id="rId227" Type="http://schemas.openxmlformats.org/officeDocument/2006/relationships/hyperlink" Target="http://www.c-bike.com.tw/english/StationShow.aspx?sid=329" TargetMode="External"/><Relationship Id="rId12" Type="http://schemas.openxmlformats.org/officeDocument/2006/relationships/hyperlink" Target="http://www.c-bike.com.tw/StationShow.aspx?sid=32" TargetMode="External"/><Relationship Id="rId33" Type="http://schemas.openxmlformats.org/officeDocument/2006/relationships/hyperlink" Target="http://www.c-bike.com.tw/StationShow.aspx?sid=109" TargetMode="External"/><Relationship Id="rId108" Type="http://schemas.openxmlformats.org/officeDocument/2006/relationships/hyperlink" Target="http://www.c-bike.com.tw/StationShow.aspx?sid=321" TargetMode="External"/><Relationship Id="rId129" Type="http://schemas.openxmlformats.org/officeDocument/2006/relationships/hyperlink" Target="http://www.c-bike.com.tw/english/StationShow.aspx?sid=82" TargetMode="External"/><Relationship Id="rId54" Type="http://schemas.openxmlformats.org/officeDocument/2006/relationships/hyperlink" Target="http://www.c-bike.com.tw/StationShow.aspx?sid=137" TargetMode="External"/><Relationship Id="rId75" Type="http://schemas.openxmlformats.org/officeDocument/2006/relationships/hyperlink" Target="http://www.c-bike.com.tw/StationShow.aspx?sid=241" TargetMode="External"/><Relationship Id="rId96" Type="http://schemas.openxmlformats.org/officeDocument/2006/relationships/hyperlink" Target="http://www.c-bike.com.tw/StationShow.aspx?sid=272" TargetMode="External"/><Relationship Id="rId140" Type="http://schemas.openxmlformats.org/officeDocument/2006/relationships/hyperlink" Target="http://www.c-bike.com.tw/english/StationShow.aspx?sid=94" TargetMode="External"/><Relationship Id="rId161" Type="http://schemas.openxmlformats.org/officeDocument/2006/relationships/hyperlink" Target="http://www.c-bike.com.tw/english/StationShow.aspx?sid=208" TargetMode="External"/><Relationship Id="rId182" Type="http://schemas.openxmlformats.org/officeDocument/2006/relationships/hyperlink" Target="http://www.c-bike.com.tw/english/StationShow.aspx?sid=230" TargetMode="External"/><Relationship Id="rId217" Type="http://schemas.openxmlformats.org/officeDocument/2006/relationships/hyperlink" Target="http://www.c-bike.com.tw/english/StationShow.aspx?sid=309" TargetMode="External"/><Relationship Id="rId6" Type="http://schemas.openxmlformats.org/officeDocument/2006/relationships/hyperlink" Target="http://www.c-bike.com.tw/StationShow.aspx?sid=25" TargetMode="External"/><Relationship Id="rId23" Type="http://schemas.openxmlformats.org/officeDocument/2006/relationships/hyperlink" Target="http://www.c-bike.com.tw/StationShow.aspx?sid=44" TargetMode="External"/><Relationship Id="rId119" Type="http://schemas.openxmlformats.org/officeDocument/2006/relationships/hyperlink" Target="http://www.c-bike.com.tw/english/StationShow.aspx?sid=71" TargetMode="External"/><Relationship Id="rId44" Type="http://schemas.openxmlformats.org/officeDocument/2006/relationships/hyperlink" Target="http://www.c-bike.com.tw/StationShow.aspx?sid=125" TargetMode="External"/><Relationship Id="rId65" Type="http://schemas.openxmlformats.org/officeDocument/2006/relationships/hyperlink" Target="http://www.c-bike.com.tw/StationShow.aspx?sid=153" TargetMode="External"/><Relationship Id="rId86" Type="http://schemas.openxmlformats.org/officeDocument/2006/relationships/hyperlink" Target="http://www.c-bike.com.tw/StationShow.aspx?sid=258" TargetMode="External"/><Relationship Id="rId130" Type="http://schemas.openxmlformats.org/officeDocument/2006/relationships/hyperlink" Target="http://www.c-bike.com.tw/english/StationShow.aspx?sid=83" TargetMode="External"/><Relationship Id="rId151" Type="http://schemas.openxmlformats.org/officeDocument/2006/relationships/hyperlink" Target="http://www.c-bike.com.tw/english/StationShow.aspx?sid=198" TargetMode="External"/><Relationship Id="rId172" Type="http://schemas.openxmlformats.org/officeDocument/2006/relationships/hyperlink" Target="http://www.c-bike.com.tw/english/StationShow.aspx?sid=220" TargetMode="External"/><Relationship Id="rId193" Type="http://schemas.openxmlformats.org/officeDocument/2006/relationships/hyperlink" Target="http://www.c-bike.com.tw/english/StationShow.aspx?sid=247" TargetMode="External"/><Relationship Id="rId207" Type="http://schemas.openxmlformats.org/officeDocument/2006/relationships/hyperlink" Target="http://www.c-bike.com.tw/english/StationShow.aspx?sid=296" TargetMode="External"/><Relationship Id="rId228" Type="http://schemas.openxmlformats.org/officeDocument/2006/relationships/hyperlink" Target="http://www.c-bike.com.tw/english/StationShow.aspx?sid=330" TargetMode="External"/><Relationship Id="rId13" Type="http://schemas.openxmlformats.org/officeDocument/2006/relationships/hyperlink" Target="http://www.c-bike.com.tw/StationShow.aspx?sid=33" TargetMode="External"/><Relationship Id="rId109" Type="http://schemas.openxmlformats.org/officeDocument/2006/relationships/hyperlink" Target="http://www.c-bike.com.tw/StationShow.aspx?sid=322" TargetMode="External"/><Relationship Id="rId34" Type="http://schemas.openxmlformats.org/officeDocument/2006/relationships/hyperlink" Target="http://www.c-bike.com.tw/StationShow.aspx?sid=110" TargetMode="External"/><Relationship Id="rId55" Type="http://schemas.openxmlformats.org/officeDocument/2006/relationships/hyperlink" Target="http://www.c-bike.com.tw/StationShow.aspx?sid=138" TargetMode="External"/><Relationship Id="rId76" Type="http://schemas.openxmlformats.org/officeDocument/2006/relationships/hyperlink" Target="http://www.c-bike.com.tw/StationShow.aspx?sid=244" TargetMode="External"/><Relationship Id="rId97" Type="http://schemas.openxmlformats.org/officeDocument/2006/relationships/hyperlink" Target="http://www.c-bike.com.tw/StationShow.aspx?sid=273" TargetMode="External"/><Relationship Id="rId120" Type="http://schemas.openxmlformats.org/officeDocument/2006/relationships/hyperlink" Target="http://www.c-bike.com.tw/english/StationShow.aspx?sid=72" TargetMode="External"/><Relationship Id="rId141" Type="http://schemas.openxmlformats.org/officeDocument/2006/relationships/hyperlink" Target="http://www.c-bike.com.tw/english/StationShow.aspx?sid=95" TargetMode="External"/><Relationship Id="rId7" Type="http://schemas.openxmlformats.org/officeDocument/2006/relationships/hyperlink" Target="http://www.c-bike.com.tw/StationShow.aspx?sid=26" TargetMode="External"/><Relationship Id="rId162" Type="http://schemas.openxmlformats.org/officeDocument/2006/relationships/hyperlink" Target="http://www.c-bike.com.tw/english/StationShow.aspx?sid=209" TargetMode="External"/><Relationship Id="rId183" Type="http://schemas.openxmlformats.org/officeDocument/2006/relationships/hyperlink" Target="http://www.c-bike.com.tw/english/StationShow.aspx?sid=231" TargetMode="External"/><Relationship Id="rId218" Type="http://schemas.openxmlformats.org/officeDocument/2006/relationships/hyperlink" Target="http://www.c-bike.com.tw/english/StationShow.aspx?sid=310" TargetMode="External"/><Relationship Id="rId24" Type="http://schemas.openxmlformats.org/officeDocument/2006/relationships/hyperlink" Target="http://www.c-bike.com.tw/StationShow.aspx?sid=45" TargetMode="External"/><Relationship Id="rId45" Type="http://schemas.openxmlformats.org/officeDocument/2006/relationships/hyperlink" Target="http://www.c-bike.com.tw/StationShow.aspx?sid=126" TargetMode="External"/><Relationship Id="rId66" Type="http://schemas.openxmlformats.org/officeDocument/2006/relationships/hyperlink" Target="http://www.c-bike.com.tw/StationShow.aspx?sid=154" TargetMode="External"/><Relationship Id="rId87" Type="http://schemas.openxmlformats.org/officeDocument/2006/relationships/hyperlink" Target="http://www.c-bike.com.tw/StationShow.aspx?sid=259" TargetMode="External"/><Relationship Id="rId110" Type="http://schemas.openxmlformats.org/officeDocument/2006/relationships/hyperlink" Target="http://www.c-bike.com.tw/StationShow.aspx?sid=323" TargetMode="External"/><Relationship Id="rId131" Type="http://schemas.openxmlformats.org/officeDocument/2006/relationships/hyperlink" Target="http://www.c-bike.com.tw/english/StationShow.aspx?sid=84" TargetMode="External"/><Relationship Id="rId152" Type="http://schemas.openxmlformats.org/officeDocument/2006/relationships/hyperlink" Target="http://www.c-bike.com.tw/english/StationShow.aspx?sid=199" TargetMode="External"/><Relationship Id="rId173" Type="http://schemas.openxmlformats.org/officeDocument/2006/relationships/hyperlink" Target="http://www.c-bike.com.tw/english/StationShow.aspx?sid=221" TargetMode="External"/><Relationship Id="rId194" Type="http://schemas.openxmlformats.org/officeDocument/2006/relationships/hyperlink" Target="http://www.c-bike.com.tw/english/StationShow.aspx?sid=248" TargetMode="External"/><Relationship Id="rId208" Type="http://schemas.openxmlformats.org/officeDocument/2006/relationships/hyperlink" Target="http://www.c-bike.com.tw/english/StationShow.aspx?sid=297" TargetMode="External"/><Relationship Id="rId229" Type="http://schemas.openxmlformats.org/officeDocument/2006/relationships/hyperlink" Target="http://www.c-bike.com.tw/english/StationShow.aspx?sid=331" TargetMode="External"/><Relationship Id="rId14" Type="http://schemas.openxmlformats.org/officeDocument/2006/relationships/hyperlink" Target="http://www.c-bike.com.tw/StationShow.aspx?sid=34" TargetMode="External"/><Relationship Id="rId35" Type="http://schemas.openxmlformats.org/officeDocument/2006/relationships/hyperlink" Target="http://www.c-bike.com.tw/StationShow.aspx?sid=111" TargetMode="External"/><Relationship Id="rId56" Type="http://schemas.openxmlformats.org/officeDocument/2006/relationships/hyperlink" Target="http://www.c-bike.com.tw/StationShow.aspx?sid=140" TargetMode="External"/><Relationship Id="rId77" Type="http://schemas.openxmlformats.org/officeDocument/2006/relationships/hyperlink" Target="http://www.c-bike.com.tw/StationShow.aspx?sid=245" TargetMode="External"/><Relationship Id="rId100" Type="http://schemas.openxmlformats.org/officeDocument/2006/relationships/hyperlink" Target="http://www.c-bike.com.tw/StationShow.aspx?sid=277" TargetMode="External"/><Relationship Id="rId8" Type="http://schemas.openxmlformats.org/officeDocument/2006/relationships/hyperlink" Target="http://www.c-bike.com.tw/StationShow.aspx?sid=27" TargetMode="External"/><Relationship Id="rId98" Type="http://schemas.openxmlformats.org/officeDocument/2006/relationships/hyperlink" Target="http://www.c-bike.com.tw/StationShow.aspx?sid=275" TargetMode="External"/><Relationship Id="rId121" Type="http://schemas.openxmlformats.org/officeDocument/2006/relationships/hyperlink" Target="http://www.c-bike.com.tw/english/StationShow.aspx?sid=73" TargetMode="External"/><Relationship Id="rId142" Type="http://schemas.openxmlformats.org/officeDocument/2006/relationships/hyperlink" Target="http://www.c-bike.com.tw/english/StationShow.aspx?sid=169" TargetMode="External"/><Relationship Id="rId163" Type="http://schemas.openxmlformats.org/officeDocument/2006/relationships/hyperlink" Target="http://www.c-bike.com.tw/english/StationShow.aspx?sid=210" TargetMode="External"/><Relationship Id="rId184" Type="http://schemas.openxmlformats.org/officeDocument/2006/relationships/hyperlink" Target="http://www.c-bike.com.tw/english/StationShow.aspx?sid=233" TargetMode="External"/><Relationship Id="rId219" Type="http://schemas.openxmlformats.org/officeDocument/2006/relationships/hyperlink" Target="http://www.c-bike.com.tw/english/StationShow.aspx?sid=311" TargetMode="External"/><Relationship Id="rId230" Type="http://schemas.openxmlformats.org/officeDocument/2006/relationships/hyperlink" Target="http://www.c-bike.com.tw/english/StationShow.aspx?sid=332" TargetMode="External"/><Relationship Id="rId25" Type="http://schemas.openxmlformats.org/officeDocument/2006/relationships/hyperlink" Target="http://www.c-bike.com.tw/StationShow.aspx?sid=46" TargetMode="External"/><Relationship Id="rId46" Type="http://schemas.openxmlformats.org/officeDocument/2006/relationships/hyperlink" Target="http://www.c-bike.com.tw/StationShow.aspx?sid=127" TargetMode="External"/><Relationship Id="rId67" Type="http://schemas.openxmlformats.org/officeDocument/2006/relationships/hyperlink" Target="http://www.c-bike.com.tw/StationShow.aspx?sid=155" TargetMode="External"/><Relationship Id="rId116" Type="http://schemas.openxmlformats.org/officeDocument/2006/relationships/hyperlink" Target="http://www.c-bike.com.tw/english/StationShow.aspx?sid=68" TargetMode="External"/><Relationship Id="rId137" Type="http://schemas.openxmlformats.org/officeDocument/2006/relationships/hyperlink" Target="http://www.c-bike.com.tw/english/StationShow.aspx?sid=91" TargetMode="External"/><Relationship Id="rId158" Type="http://schemas.openxmlformats.org/officeDocument/2006/relationships/hyperlink" Target="http://www.c-bike.com.tw/english/StationShow.aspx?sid=205" TargetMode="External"/><Relationship Id="rId20" Type="http://schemas.openxmlformats.org/officeDocument/2006/relationships/hyperlink" Target="http://www.c-bike.com.tw/StationShow.aspx?sid=40" TargetMode="External"/><Relationship Id="rId41" Type="http://schemas.openxmlformats.org/officeDocument/2006/relationships/hyperlink" Target="http://www.c-bike.com.tw/StationShow.aspx?sid=118" TargetMode="External"/><Relationship Id="rId62" Type="http://schemas.openxmlformats.org/officeDocument/2006/relationships/hyperlink" Target="http://www.c-bike.com.tw/StationShow.aspx?sid=148" TargetMode="External"/><Relationship Id="rId83" Type="http://schemas.openxmlformats.org/officeDocument/2006/relationships/hyperlink" Target="http://www.c-bike.com.tw/StationShow.aspx?sid=255" TargetMode="External"/><Relationship Id="rId88" Type="http://schemas.openxmlformats.org/officeDocument/2006/relationships/hyperlink" Target="http://www.c-bike.com.tw/StationShow.aspx?sid=261" TargetMode="External"/><Relationship Id="rId111" Type="http://schemas.openxmlformats.org/officeDocument/2006/relationships/hyperlink" Target="http://www.c-bike.com.tw/StationShow.aspx?sid=324" TargetMode="External"/><Relationship Id="rId132" Type="http://schemas.openxmlformats.org/officeDocument/2006/relationships/hyperlink" Target="http://www.c-bike.com.tw/english/StationShow.aspx?sid=85" TargetMode="External"/><Relationship Id="rId153" Type="http://schemas.openxmlformats.org/officeDocument/2006/relationships/hyperlink" Target="http://www.c-bike.com.tw/english/StationShow.aspx?sid=200" TargetMode="External"/><Relationship Id="rId174" Type="http://schemas.openxmlformats.org/officeDocument/2006/relationships/hyperlink" Target="http://www.c-bike.com.tw/english/StationShow.aspx?sid=222" TargetMode="External"/><Relationship Id="rId179" Type="http://schemas.openxmlformats.org/officeDocument/2006/relationships/hyperlink" Target="http://www.c-bike.com.tw/english/StationShow.aspx?sid=227" TargetMode="External"/><Relationship Id="rId195" Type="http://schemas.openxmlformats.org/officeDocument/2006/relationships/hyperlink" Target="http://www.c-bike.com.tw/english/StationShow.aspx?sid=250" TargetMode="External"/><Relationship Id="rId209" Type="http://schemas.openxmlformats.org/officeDocument/2006/relationships/hyperlink" Target="http://www.c-bike.com.tw/english/StationShow.aspx?sid=299" TargetMode="External"/><Relationship Id="rId190" Type="http://schemas.openxmlformats.org/officeDocument/2006/relationships/hyperlink" Target="http://www.c-bike.com.tw/english/StationShow.aspx?sid=239" TargetMode="External"/><Relationship Id="rId204" Type="http://schemas.openxmlformats.org/officeDocument/2006/relationships/hyperlink" Target="http://www.c-bike.com.tw/english/StationShow.aspx?sid=291" TargetMode="External"/><Relationship Id="rId220" Type="http://schemas.openxmlformats.org/officeDocument/2006/relationships/hyperlink" Target="http://www.c-bike.com.tw/english/StationShow.aspx?sid=312" TargetMode="External"/><Relationship Id="rId225" Type="http://schemas.openxmlformats.org/officeDocument/2006/relationships/hyperlink" Target="http://www.c-bike.com.tw/english/StationShow.aspx?sid=320" TargetMode="External"/><Relationship Id="rId15" Type="http://schemas.openxmlformats.org/officeDocument/2006/relationships/hyperlink" Target="http://www.c-bike.com.tw/StationShow.aspx?sid=35" TargetMode="External"/><Relationship Id="rId36" Type="http://schemas.openxmlformats.org/officeDocument/2006/relationships/hyperlink" Target="http://www.c-bike.com.tw/StationShow.aspx?sid=112" TargetMode="External"/><Relationship Id="rId57" Type="http://schemas.openxmlformats.org/officeDocument/2006/relationships/hyperlink" Target="http://www.c-bike.com.tw/StationShow.aspx?sid=142" TargetMode="External"/><Relationship Id="rId106" Type="http://schemas.openxmlformats.org/officeDocument/2006/relationships/hyperlink" Target="http://www.c-bike.com.tw/StationShow.aspx?sid=317" TargetMode="External"/><Relationship Id="rId127" Type="http://schemas.openxmlformats.org/officeDocument/2006/relationships/hyperlink" Target="http://www.c-bike.com.tw/english/StationShow.aspx?sid=80" TargetMode="External"/><Relationship Id="rId10" Type="http://schemas.openxmlformats.org/officeDocument/2006/relationships/hyperlink" Target="http://www.c-bike.com.tw/StationShow.aspx?sid=29" TargetMode="External"/><Relationship Id="rId31" Type="http://schemas.openxmlformats.org/officeDocument/2006/relationships/hyperlink" Target="http://www.c-bike.com.tw/StationShow.aspx?sid=106" TargetMode="External"/><Relationship Id="rId52" Type="http://schemas.openxmlformats.org/officeDocument/2006/relationships/hyperlink" Target="http://www.c-bike.com.tw/StationShow.aspx?sid=133" TargetMode="External"/><Relationship Id="rId73" Type="http://schemas.openxmlformats.org/officeDocument/2006/relationships/hyperlink" Target="http://www.c-bike.com.tw/StationShow.aspx?sid=167" TargetMode="External"/><Relationship Id="rId78" Type="http://schemas.openxmlformats.org/officeDocument/2006/relationships/hyperlink" Target="http://www.c-bike.com.tw/StationShow.aspx?sid=249" TargetMode="External"/><Relationship Id="rId94" Type="http://schemas.openxmlformats.org/officeDocument/2006/relationships/hyperlink" Target="http://www.c-bike.com.tw/StationShow.aspx?sid=270" TargetMode="External"/><Relationship Id="rId99" Type="http://schemas.openxmlformats.org/officeDocument/2006/relationships/hyperlink" Target="http://www.c-bike.com.tw/StationShow.aspx?sid=276" TargetMode="External"/><Relationship Id="rId101" Type="http://schemas.openxmlformats.org/officeDocument/2006/relationships/hyperlink" Target="http://www.c-bike.com.tw/StationShow.aspx?sid=278" TargetMode="External"/><Relationship Id="rId122" Type="http://schemas.openxmlformats.org/officeDocument/2006/relationships/hyperlink" Target="http://www.c-bike.com.tw/english/StationShow.aspx?sid=74" TargetMode="External"/><Relationship Id="rId143" Type="http://schemas.openxmlformats.org/officeDocument/2006/relationships/hyperlink" Target="http://www.c-bike.com.tw/english/StationShow.aspx?sid=171" TargetMode="External"/><Relationship Id="rId148" Type="http://schemas.openxmlformats.org/officeDocument/2006/relationships/hyperlink" Target="http://www.c-bike.com.tw/english/StationShow.aspx?sid=195" TargetMode="External"/><Relationship Id="rId164" Type="http://schemas.openxmlformats.org/officeDocument/2006/relationships/hyperlink" Target="http://www.c-bike.com.tw/english/StationShow.aspx?sid=211" TargetMode="External"/><Relationship Id="rId169" Type="http://schemas.openxmlformats.org/officeDocument/2006/relationships/hyperlink" Target="http://www.c-bike.com.tw/english/StationShow.aspx?sid=217" TargetMode="External"/><Relationship Id="rId185" Type="http://schemas.openxmlformats.org/officeDocument/2006/relationships/hyperlink" Target="http://www.c-bike.com.tw/english/StationShow.aspx?sid=234" TargetMode="External"/><Relationship Id="rId4" Type="http://schemas.openxmlformats.org/officeDocument/2006/relationships/hyperlink" Target="http://www.c-bike.com.tw/StationShow.aspx?sid=23" TargetMode="External"/><Relationship Id="rId9" Type="http://schemas.openxmlformats.org/officeDocument/2006/relationships/hyperlink" Target="http://www.c-bike.com.tw/StationShow.aspx?sid=28" TargetMode="External"/><Relationship Id="rId180" Type="http://schemas.openxmlformats.org/officeDocument/2006/relationships/hyperlink" Target="http://www.c-bike.com.tw/english/StationShow.aspx?sid=228" TargetMode="External"/><Relationship Id="rId210" Type="http://schemas.openxmlformats.org/officeDocument/2006/relationships/hyperlink" Target="http://www.c-bike.com.tw/english/StationShow.aspx?sid=300" TargetMode="External"/><Relationship Id="rId215" Type="http://schemas.openxmlformats.org/officeDocument/2006/relationships/hyperlink" Target="http://www.c-bike.com.tw/english/StationShow.aspx?sid=306" TargetMode="External"/><Relationship Id="rId26" Type="http://schemas.openxmlformats.org/officeDocument/2006/relationships/hyperlink" Target="http://www.c-bike.com.tw/StationShow.aspx?sid=97" TargetMode="External"/><Relationship Id="rId231" Type="http://schemas.openxmlformats.org/officeDocument/2006/relationships/hyperlink" Target="http://www.c-bike.com.tw/english/StationShow.aspx?sid=333" TargetMode="External"/><Relationship Id="rId47" Type="http://schemas.openxmlformats.org/officeDocument/2006/relationships/hyperlink" Target="http://www.c-bike.com.tw/StationShow.aspx?sid=128" TargetMode="External"/><Relationship Id="rId68" Type="http://schemas.openxmlformats.org/officeDocument/2006/relationships/hyperlink" Target="http://www.c-bike.com.tw/StationShow.aspx?sid=156" TargetMode="External"/><Relationship Id="rId89" Type="http://schemas.openxmlformats.org/officeDocument/2006/relationships/hyperlink" Target="http://www.c-bike.com.tw/StationShow.aspx?sid=263" TargetMode="External"/><Relationship Id="rId112" Type="http://schemas.openxmlformats.org/officeDocument/2006/relationships/hyperlink" Target="http://www.c-bike.com.tw/StationShow.aspx?sid=325" TargetMode="External"/><Relationship Id="rId133" Type="http://schemas.openxmlformats.org/officeDocument/2006/relationships/hyperlink" Target="http://www.c-bike.com.tw/english/StationShow.aspx?sid=86" TargetMode="External"/><Relationship Id="rId154" Type="http://schemas.openxmlformats.org/officeDocument/2006/relationships/hyperlink" Target="http://www.c-bike.com.tw/english/StationShow.aspx?sid=201" TargetMode="External"/><Relationship Id="rId175" Type="http://schemas.openxmlformats.org/officeDocument/2006/relationships/hyperlink" Target="http://www.c-bike.com.tw/english/StationShow.aspx?sid=223" TargetMode="External"/><Relationship Id="rId196" Type="http://schemas.openxmlformats.org/officeDocument/2006/relationships/hyperlink" Target="http://www.c-bike.com.tw/english/StationShow.aspx?sid=283" TargetMode="External"/><Relationship Id="rId200" Type="http://schemas.openxmlformats.org/officeDocument/2006/relationships/hyperlink" Target="http://www.c-bike.com.tw/english/StationShow.aspx?sid=287" TargetMode="External"/><Relationship Id="rId16" Type="http://schemas.openxmlformats.org/officeDocument/2006/relationships/hyperlink" Target="http://www.c-bike.com.tw/StationShow.aspx?sid=36" TargetMode="External"/><Relationship Id="rId221" Type="http://schemas.openxmlformats.org/officeDocument/2006/relationships/hyperlink" Target="http://www.c-bike.com.tw/english/StationShow.aspx?sid=313" TargetMode="External"/><Relationship Id="rId37" Type="http://schemas.openxmlformats.org/officeDocument/2006/relationships/hyperlink" Target="http://www.c-bike.com.tw/StationShow.aspx?sid=113" TargetMode="External"/><Relationship Id="rId58" Type="http://schemas.openxmlformats.org/officeDocument/2006/relationships/hyperlink" Target="http://www.c-bike.com.tw/StationShow.aspx?sid=143" TargetMode="External"/><Relationship Id="rId79" Type="http://schemas.openxmlformats.org/officeDocument/2006/relationships/hyperlink" Target="http://www.c-bike.com.tw/StationShow.aspx?sid=251" TargetMode="External"/><Relationship Id="rId102" Type="http://schemas.openxmlformats.org/officeDocument/2006/relationships/hyperlink" Target="http://www.c-bike.com.tw/StationShow.aspx?sid=280" TargetMode="External"/><Relationship Id="rId123" Type="http://schemas.openxmlformats.org/officeDocument/2006/relationships/hyperlink" Target="http://www.c-bike.com.tw/english/StationShow.aspx?sid=75" TargetMode="External"/><Relationship Id="rId144" Type="http://schemas.openxmlformats.org/officeDocument/2006/relationships/hyperlink" Target="http://www.c-bike.com.tw/english/StationShow.aspx?sid=191" TargetMode="External"/><Relationship Id="rId90" Type="http://schemas.openxmlformats.org/officeDocument/2006/relationships/hyperlink" Target="http://www.c-bike.com.tw/StationShow.aspx?sid=264" TargetMode="External"/><Relationship Id="rId165" Type="http://schemas.openxmlformats.org/officeDocument/2006/relationships/hyperlink" Target="http://www.c-bike.com.tw/english/StationShow.aspx?sid=212" TargetMode="External"/><Relationship Id="rId186" Type="http://schemas.openxmlformats.org/officeDocument/2006/relationships/hyperlink" Target="http://www.c-bike.com.tw/english/StationShow.aspx?sid=235" TargetMode="External"/><Relationship Id="rId211" Type="http://schemas.openxmlformats.org/officeDocument/2006/relationships/hyperlink" Target="http://www.c-bike.com.tw/english/StationShow.aspx?sid=301" TargetMode="External"/><Relationship Id="rId232" Type="http://schemas.openxmlformats.org/officeDocument/2006/relationships/hyperlink" Target="http://www.c-bike.com.tw/english/StationShow.aspx?sid=334" TargetMode="External"/><Relationship Id="rId27" Type="http://schemas.openxmlformats.org/officeDocument/2006/relationships/hyperlink" Target="http://www.c-bike.com.tw/StationShow.aspx?sid=98" TargetMode="External"/><Relationship Id="rId48" Type="http://schemas.openxmlformats.org/officeDocument/2006/relationships/hyperlink" Target="http://www.c-bike.com.tw/StationShow.aspx?sid=129" TargetMode="External"/><Relationship Id="rId69" Type="http://schemas.openxmlformats.org/officeDocument/2006/relationships/hyperlink" Target="http://www.c-bike.com.tw/StationShow.aspx?sid=160" TargetMode="External"/><Relationship Id="rId113" Type="http://schemas.openxmlformats.org/officeDocument/2006/relationships/hyperlink" Target="http://www.c-bike.com.tw/StationShow.aspx?sid=326" TargetMode="External"/><Relationship Id="rId134" Type="http://schemas.openxmlformats.org/officeDocument/2006/relationships/hyperlink" Target="http://www.c-bike.com.tw/english/StationShow.aspx?sid=87" TargetMode="External"/><Relationship Id="rId80" Type="http://schemas.openxmlformats.org/officeDocument/2006/relationships/hyperlink" Target="http://www.c-bike.com.tw/StationShow.aspx?sid=252" TargetMode="External"/><Relationship Id="rId155" Type="http://schemas.openxmlformats.org/officeDocument/2006/relationships/hyperlink" Target="http://www.c-bike.com.tw/english/StationShow.aspx?sid=202" TargetMode="External"/><Relationship Id="rId176" Type="http://schemas.openxmlformats.org/officeDocument/2006/relationships/hyperlink" Target="http://www.c-bike.com.tw/english/StationShow.aspx?sid=224" TargetMode="External"/><Relationship Id="rId197" Type="http://schemas.openxmlformats.org/officeDocument/2006/relationships/hyperlink" Target="http://www.c-bike.com.tw/english/StationShow.aspx?sid=284" TargetMode="External"/><Relationship Id="rId201" Type="http://schemas.openxmlformats.org/officeDocument/2006/relationships/hyperlink" Target="http://www.c-bike.com.tw/english/StationShow.aspx?sid=288" TargetMode="External"/><Relationship Id="rId222" Type="http://schemas.openxmlformats.org/officeDocument/2006/relationships/hyperlink" Target="http://www.c-bike.com.tw/english/StationShow.aspx?sid=314" TargetMode="External"/><Relationship Id="rId17" Type="http://schemas.openxmlformats.org/officeDocument/2006/relationships/hyperlink" Target="http://www.c-bike.com.tw/StationShow.aspx?sid=37" TargetMode="External"/><Relationship Id="rId38" Type="http://schemas.openxmlformats.org/officeDocument/2006/relationships/hyperlink" Target="http://www.c-bike.com.tw/StationShow.aspx?sid=114" TargetMode="External"/><Relationship Id="rId59" Type="http://schemas.openxmlformats.org/officeDocument/2006/relationships/hyperlink" Target="http://www.c-bike.com.tw/StationShow.aspx?sid=144" TargetMode="External"/><Relationship Id="rId103" Type="http://schemas.openxmlformats.org/officeDocument/2006/relationships/hyperlink" Target="http://www.c-bike.com.tw/StationShow.aspx?sid=281" TargetMode="External"/><Relationship Id="rId124" Type="http://schemas.openxmlformats.org/officeDocument/2006/relationships/hyperlink" Target="http://www.c-bike.com.tw/english/StationShow.aspx?sid=76" TargetMode="External"/><Relationship Id="rId70" Type="http://schemas.openxmlformats.org/officeDocument/2006/relationships/hyperlink" Target="http://www.c-bike.com.tw/StationShow.aspx?sid=162" TargetMode="External"/><Relationship Id="rId91" Type="http://schemas.openxmlformats.org/officeDocument/2006/relationships/hyperlink" Target="http://www.c-bike.com.tw/StationShow.aspx?sid=266" TargetMode="External"/><Relationship Id="rId145" Type="http://schemas.openxmlformats.org/officeDocument/2006/relationships/hyperlink" Target="http://www.c-bike.com.tw/english/StationShow.aspx?sid=192" TargetMode="External"/><Relationship Id="rId166" Type="http://schemas.openxmlformats.org/officeDocument/2006/relationships/hyperlink" Target="http://www.c-bike.com.tw/english/StationShow.aspx?sid=213" TargetMode="External"/><Relationship Id="rId187" Type="http://schemas.openxmlformats.org/officeDocument/2006/relationships/hyperlink" Target="http://www.c-bike.com.tw/english/StationShow.aspx?sid=236" TargetMode="External"/><Relationship Id="rId1" Type="http://schemas.openxmlformats.org/officeDocument/2006/relationships/hyperlink" Target="http://www.c-bike.com.tw/StationShow.aspx?sid=20" TargetMode="External"/><Relationship Id="rId212" Type="http://schemas.openxmlformats.org/officeDocument/2006/relationships/hyperlink" Target="http://www.c-bike.com.tw/english/StationShow.aspx?sid=303" TargetMode="External"/><Relationship Id="rId28" Type="http://schemas.openxmlformats.org/officeDocument/2006/relationships/hyperlink" Target="http://www.c-bike.com.tw/StationShow.aspx?sid=101" TargetMode="External"/><Relationship Id="rId49" Type="http://schemas.openxmlformats.org/officeDocument/2006/relationships/hyperlink" Target="http://www.c-bike.com.tw/StationShow.aspx?sid=130" TargetMode="External"/><Relationship Id="rId114" Type="http://schemas.openxmlformats.org/officeDocument/2006/relationships/hyperlink" Target="http://www.c-bike.com.tw/StationShow.aspx?sid=327" TargetMode="External"/><Relationship Id="rId60" Type="http://schemas.openxmlformats.org/officeDocument/2006/relationships/hyperlink" Target="http://www.c-bike.com.tw/StationShow.aspx?sid=146" TargetMode="External"/><Relationship Id="rId81" Type="http://schemas.openxmlformats.org/officeDocument/2006/relationships/hyperlink" Target="http://www.c-bike.com.tw/StationShow.aspx?sid=253" TargetMode="External"/><Relationship Id="rId135" Type="http://schemas.openxmlformats.org/officeDocument/2006/relationships/hyperlink" Target="http://www.c-bike.com.tw/english/StationShow.aspx?sid=88" TargetMode="External"/><Relationship Id="rId156" Type="http://schemas.openxmlformats.org/officeDocument/2006/relationships/hyperlink" Target="http://www.c-bike.com.tw/english/StationShow.aspx?sid=203" TargetMode="External"/><Relationship Id="rId177" Type="http://schemas.openxmlformats.org/officeDocument/2006/relationships/hyperlink" Target="http://www.c-bike.com.tw/english/StationShow.aspx?sid=225" TargetMode="External"/><Relationship Id="rId198" Type="http://schemas.openxmlformats.org/officeDocument/2006/relationships/hyperlink" Target="http://www.c-bike.com.tw/english/StationShow.aspx?sid=285" TargetMode="External"/><Relationship Id="rId202" Type="http://schemas.openxmlformats.org/officeDocument/2006/relationships/hyperlink" Target="http://www.c-bike.com.tw/english/StationShow.aspx?sid=289" TargetMode="External"/><Relationship Id="rId223" Type="http://schemas.openxmlformats.org/officeDocument/2006/relationships/hyperlink" Target="http://www.c-bike.com.tw/english/StationShow.aspx?sid=315" TargetMode="External"/><Relationship Id="rId18" Type="http://schemas.openxmlformats.org/officeDocument/2006/relationships/hyperlink" Target="http://www.c-bike.com.tw/StationShow.aspx?sid=38" TargetMode="External"/><Relationship Id="rId39" Type="http://schemas.openxmlformats.org/officeDocument/2006/relationships/hyperlink" Target="http://www.c-bike.com.tw/StationShow.aspx?sid=115" TargetMode="External"/><Relationship Id="rId50" Type="http://schemas.openxmlformats.org/officeDocument/2006/relationships/hyperlink" Target="http://www.c-bike.com.tw/StationShow.aspx?sid=131" TargetMode="External"/><Relationship Id="rId104" Type="http://schemas.openxmlformats.org/officeDocument/2006/relationships/hyperlink" Target="http://www.c-bike.com.tw/StationShow.aspx?sid=282" TargetMode="External"/><Relationship Id="rId125" Type="http://schemas.openxmlformats.org/officeDocument/2006/relationships/hyperlink" Target="http://www.c-bike.com.tw/english/StationShow.aspx?sid=77" TargetMode="External"/><Relationship Id="rId146" Type="http://schemas.openxmlformats.org/officeDocument/2006/relationships/hyperlink" Target="http://www.c-bike.com.tw/english/StationShow.aspx?sid=193" TargetMode="External"/><Relationship Id="rId167" Type="http://schemas.openxmlformats.org/officeDocument/2006/relationships/hyperlink" Target="http://www.c-bike.com.tw/english/StationShow.aspx?sid=214" TargetMode="External"/><Relationship Id="rId188" Type="http://schemas.openxmlformats.org/officeDocument/2006/relationships/hyperlink" Target="http://www.c-bike.com.tw/english/StationShow.aspx?sid=237" TargetMode="External"/><Relationship Id="rId71" Type="http://schemas.openxmlformats.org/officeDocument/2006/relationships/hyperlink" Target="http://www.c-bike.com.tw/StationShow.aspx?sid=164" TargetMode="External"/><Relationship Id="rId92" Type="http://schemas.openxmlformats.org/officeDocument/2006/relationships/hyperlink" Target="http://www.c-bike.com.tw/StationShow.aspx?sid=267" TargetMode="External"/><Relationship Id="rId213" Type="http://schemas.openxmlformats.org/officeDocument/2006/relationships/hyperlink" Target="http://www.c-bike.com.tw/english/StationShow.aspx?sid=304" TargetMode="External"/><Relationship Id="rId2" Type="http://schemas.openxmlformats.org/officeDocument/2006/relationships/hyperlink" Target="http://www.c-bike.com.tw/StationShow.aspx?sid=21" TargetMode="External"/><Relationship Id="rId29" Type="http://schemas.openxmlformats.org/officeDocument/2006/relationships/hyperlink" Target="http://www.c-bike.com.tw/StationShow.aspx?sid=103" TargetMode="External"/><Relationship Id="rId40" Type="http://schemas.openxmlformats.org/officeDocument/2006/relationships/hyperlink" Target="http://www.c-bike.com.tw/StationShow.aspx?sid=116" TargetMode="External"/><Relationship Id="rId115" Type="http://schemas.openxmlformats.org/officeDocument/2006/relationships/hyperlink" Target="http://www.c-bike.com.tw/StationShow.aspx?sid=335" TargetMode="External"/><Relationship Id="rId136" Type="http://schemas.openxmlformats.org/officeDocument/2006/relationships/hyperlink" Target="http://www.c-bike.com.tw/english/StationShow.aspx?sid=90" TargetMode="External"/><Relationship Id="rId157" Type="http://schemas.openxmlformats.org/officeDocument/2006/relationships/hyperlink" Target="http://www.c-bike.com.tw/english/StationShow.aspx?sid=204" TargetMode="External"/><Relationship Id="rId178" Type="http://schemas.openxmlformats.org/officeDocument/2006/relationships/hyperlink" Target="http://www.c-bike.com.tw/english/StationShow.aspx?sid=226" TargetMode="External"/><Relationship Id="rId61" Type="http://schemas.openxmlformats.org/officeDocument/2006/relationships/hyperlink" Target="http://www.c-bike.com.tw/StationShow.aspx?sid=147" TargetMode="External"/><Relationship Id="rId82" Type="http://schemas.openxmlformats.org/officeDocument/2006/relationships/hyperlink" Target="http://www.c-bike.com.tw/StationShow.aspx?sid=254" TargetMode="External"/><Relationship Id="rId199" Type="http://schemas.openxmlformats.org/officeDocument/2006/relationships/hyperlink" Target="http://www.c-bike.com.tw/english/StationShow.aspx?sid=286" TargetMode="External"/><Relationship Id="rId203" Type="http://schemas.openxmlformats.org/officeDocument/2006/relationships/hyperlink" Target="http://www.c-bike.com.tw/english/StationShow.aspx?sid=290" TargetMode="External"/><Relationship Id="rId19" Type="http://schemas.openxmlformats.org/officeDocument/2006/relationships/hyperlink" Target="http://www.c-bike.com.tw/StationShow.aspx?sid=39" TargetMode="External"/><Relationship Id="rId224" Type="http://schemas.openxmlformats.org/officeDocument/2006/relationships/hyperlink" Target="http://www.c-bike.com.tw/english/StationShow.aspx?sid=318" TargetMode="External"/><Relationship Id="rId30" Type="http://schemas.openxmlformats.org/officeDocument/2006/relationships/hyperlink" Target="http://www.c-bike.com.tw/StationShow.aspx?sid=105" TargetMode="External"/><Relationship Id="rId105" Type="http://schemas.openxmlformats.org/officeDocument/2006/relationships/hyperlink" Target="http://www.c-bike.com.tw/StationShow.aspx?sid=316" TargetMode="External"/><Relationship Id="rId126" Type="http://schemas.openxmlformats.org/officeDocument/2006/relationships/hyperlink" Target="http://www.c-bike.com.tw/english/StationShow.aspx?sid=78" TargetMode="External"/><Relationship Id="rId147" Type="http://schemas.openxmlformats.org/officeDocument/2006/relationships/hyperlink" Target="http://www.c-bike.com.tw/english/StationShow.aspx?sid=194" TargetMode="External"/><Relationship Id="rId168" Type="http://schemas.openxmlformats.org/officeDocument/2006/relationships/hyperlink" Target="http://www.c-bike.com.tw/english/StationShow.aspx?sid=215" TargetMode="External"/><Relationship Id="rId51" Type="http://schemas.openxmlformats.org/officeDocument/2006/relationships/hyperlink" Target="http://www.c-bike.com.tw/StationShow.aspx?sid=132" TargetMode="External"/><Relationship Id="rId72" Type="http://schemas.openxmlformats.org/officeDocument/2006/relationships/hyperlink" Target="http://www.c-bike.com.tw/StationShow.aspx?sid=166" TargetMode="External"/><Relationship Id="rId93" Type="http://schemas.openxmlformats.org/officeDocument/2006/relationships/hyperlink" Target="http://www.c-bike.com.tw/StationShow.aspx?sid=268" TargetMode="External"/><Relationship Id="rId189" Type="http://schemas.openxmlformats.org/officeDocument/2006/relationships/hyperlink" Target="http://www.c-bike.com.tw/english/StationShow.aspx?sid=238" TargetMode="External"/><Relationship Id="rId3" Type="http://schemas.openxmlformats.org/officeDocument/2006/relationships/hyperlink" Target="http://www.c-bike.com.tw/StationShow.aspx?sid=22" TargetMode="External"/><Relationship Id="rId214" Type="http://schemas.openxmlformats.org/officeDocument/2006/relationships/hyperlink" Target="http://www.c-bike.com.tw/english/StationShow.aspx?sid=30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"/>
  <sheetViews>
    <sheetView showGridLines="0" workbookViewId="0">
      <selection activeCell="E15" sqref="E15"/>
    </sheetView>
  </sheetViews>
  <sheetFormatPr defaultRowHeight="15" x14ac:dyDescent="0.25"/>
  <cols>
    <col min="1" max="1" width="14.7109375" customWidth="1"/>
    <col min="2" max="2" width="23.7109375" customWidth="1"/>
    <col min="3" max="4" width="15.28515625" customWidth="1"/>
    <col min="5" max="5" width="27.5703125" bestFit="1" customWidth="1"/>
  </cols>
  <sheetData>
    <row r="1" spans="1:5" x14ac:dyDescent="0.25">
      <c r="A1" t="s">
        <v>44</v>
      </c>
      <c r="B1" t="s">
        <v>45</v>
      </c>
      <c r="C1" t="s">
        <v>46</v>
      </c>
      <c r="D1" t="s">
        <v>47</v>
      </c>
      <c r="E1" t="s">
        <v>91</v>
      </c>
    </row>
    <row r="2" spans="1:5" x14ac:dyDescent="0.25">
      <c r="A2" t="s">
        <v>41</v>
      </c>
      <c r="B2" t="str">
        <f t="shared" ref="B2:B7" si="0">G_LATLNG(A2)</f>
        <v>51.5073509,-0.1277583</v>
      </c>
      <c r="C2">
        <f t="shared" ref="C2:C7" si="1">G_LAT(A2)</f>
        <v>51.507350899999999</v>
      </c>
      <c r="D2">
        <f t="shared" ref="D2:D7" si="2">G_LONG(A2)</f>
        <v>-0.12775829999999999</v>
      </c>
      <c r="E2" t="str">
        <f>G_ADDRESS(Table1[[#This Row],[Location]])</f>
        <v>London, UK</v>
      </c>
    </row>
    <row r="3" spans="1:5" x14ac:dyDescent="0.25">
      <c r="A3" t="s">
        <v>40</v>
      </c>
      <c r="B3" t="str">
        <f t="shared" si="0"/>
        <v>48.8566140,2.3522219</v>
      </c>
      <c r="C3">
        <f t="shared" si="1"/>
        <v>48.856614</v>
      </c>
      <c r="D3">
        <f t="shared" si="2"/>
        <v>2.3522219</v>
      </c>
      <c r="E3" t="str">
        <f>G_ADDRESS(Table1[[#This Row],[Location]])</f>
        <v>Paris, France</v>
      </c>
    </row>
    <row r="4" spans="1:5" x14ac:dyDescent="0.25">
      <c r="A4" t="s">
        <v>42</v>
      </c>
      <c r="B4" t="str">
        <f t="shared" si="0"/>
        <v>41.9027835,12.4963655</v>
      </c>
      <c r="C4">
        <f t="shared" si="1"/>
        <v>41.902783499999998</v>
      </c>
      <c r="D4">
        <f t="shared" si="2"/>
        <v>12.4963655</v>
      </c>
      <c r="E4" t="str">
        <f>G_ADDRESS(Table1[[#This Row],[Location]])</f>
        <v>Rome, Italy</v>
      </c>
    </row>
    <row r="5" spans="1:5" x14ac:dyDescent="0.25">
      <c r="A5" t="s">
        <v>48</v>
      </c>
      <c r="B5" t="str">
        <f t="shared" si="0"/>
        <v>45.4654219,9.1859243</v>
      </c>
      <c r="C5">
        <f t="shared" si="1"/>
        <v>45.465421900000003</v>
      </c>
      <c r="D5">
        <f t="shared" si="2"/>
        <v>9.1859242999999999</v>
      </c>
      <c r="E5" t="str">
        <f>G_ADDRESS(Table1[[#This Row],[Location]])</f>
        <v>Milan, Italy</v>
      </c>
    </row>
    <row r="6" spans="1:5" x14ac:dyDescent="0.25">
      <c r="A6" t="s">
        <v>49</v>
      </c>
      <c r="B6" t="str">
        <f t="shared" si="0"/>
        <v>48.1351253,11.5819806</v>
      </c>
      <c r="C6">
        <f t="shared" si="1"/>
        <v>48.135125299999999</v>
      </c>
      <c r="D6">
        <f t="shared" si="2"/>
        <v>11.5819806</v>
      </c>
      <c r="E6" t="str">
        <f>G_ADDRESS(Table1[[#This Row],[Location]])</f>
        <v>Munich, Germany</v>
      </c>
    </row>
    <row r="7" spans="1:5" x14ac:dyDescent="0.25">
      <c r="A7" t="s">
        <v>43</v>
      </c>
      <c r="B7" t="str">
        <f t="shared" si="0"/>
        <v>52.3702157,4.8951679</v>
      </c>
      <c r="C7">
        <f t="shared" si="1"/>
        <v>52.370215700000003</v>
      </c>
      <c r="D7">
        <f t="shared" si="2"/>
        <v>4.8951678999999997</v>
      </c>
      <c r="E7" t="str">
        <f>G_ADDRESS(Table1[[#This Row],[Location]])</f>
        <v>Amsterdam, Netherlands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1"/>
  <sheetViews>
    <sheetView showGridLines="0" workbookViewId="0">
      <selection activeCell="E16" sqref="E16"/>
    </sheetView>
  </sheetViews>
  <sheetFormatPr defaultRowHeight="15" x14ac:dyDescent="0.25"/>
  <cols>
    <col min="1" max="1" width="42.7109375" bestFit="1" customWidth="1"/>
    <col min="2" max="7" width="16.42578125" customWidth="1"/>
    <col min="10" max="10" width="11.28515625" bestFit="1" customWidth="1"/>
  </cols>
  <sheetData>
    <row r="1" spans="1:10" ht="132.75" x14ac:dyDescent="0.25">
      <c r="A1" t="s">
        <v>88</v>
      </c>
      <c r="B1" s="20" t="s">
        <v>98</v>
      </c>
      <c r="C1" s="20" t="s">
        <v>93</v>
      </c>
      <c r="D1" s="20" t="s">
        <v>94</v>
      </c>
      <c r="E1" s="20" t="s">
        <v>95</v>
      </c>
      <c r="F1" s="20" t="s">
        <v>96</v>
      </c>
      <c r="G1" s="20" t="s">
        <v>97</v>
      </c>
    </row>
    <row r="2" spans="1:10" x14ac:dyDescent="0.25">
      <c r="A2" s="16" t="str">
        <f>Table2[[#Headers],[Kaohsiung Formosa Boulevard (MRT)]]</f>
        <v>Kaohsiung Formosa Boulevard (MRT)</v>
      </c>
      <c r="B2" s="22">
        <f>G_Duration($A2,B$1)</f>
        <v>0</v>
      </c>
      <c r="C2" s="22"/>
      <c r="D2" s="22"/>
      <c r="E2" s="22"/>
      <c r="F2" s="22"/>
      <c r="G2" s="22" t="str">
        <f t="shared" ref="G2:G8" si="0">G_DISTANCE($A2,G$1)</f>
        <v>OVER_QUERY_LIMIT</v>
      </c>
      <c r="H2" s="15"/>
      <c r="I2" s="15"/>
      <c r="J2" s="15"/>
    </row>
    <row r="3" spans="1:10" x14ac:dyDescent="0.25">
      <c r="A3" s="16" t="str">
        <f>Table2[[#Headers],[Béziers]]</f>
        <v>Béziers</v>
      </c>
      <c r="B3" s="22" t="str">
        <f t="shared" ref="B3:B8" si="1">G_DISTANCE($A3,B$1)</f>
        <v>OVER_QUERY_LIMIT</v>
      </c>
      <c r="C3" s="22">
        <f>G_Duration($A3,C$1)</f>
        <v>0</v>
      </c>
      <c r="D3" s="22"/>
      <c r="E3" s="22"/>
      <c r="F3" s="22"/>
      <c r="G3" s="22" t="str">
        <f t="shared" si="0"/>
        <v>OVER_QUERY_LIMIT</v>
      </c>
      <c r="H3" s="15"/>
      <c r="I3" s="15"/>
      <c r="J3" s="15"/>
    </row>
    <row r="4" spans="1:10" x14ac:dyDescent="0.25">
      <c r="A4" s="16" t="str">
        <f>Table2[[#Headers],[Köln]]</f>
        <v>Köln</v>
      </c>
      <c r="B4" s="22" t="str">
        <f t="shared" si="1"/>
        <v>OVER_QUERY_LIMIT</v>
      </c>
      <c r="C4" s="22" t="str">
        <f>G_DISTANCE($A4,C$1)</f>
        <v>OVER_QUERY_LIMIT</v>
      </c>
      <c r="D4" s="22">
        <f>G_Duration($A4,D$1)</f>
        <v>0</v>
      </c>
      <c r="E4" s="22"/>
      <c r="F4" s="22"/>
      <c r="G4" s="22" t="str">
        <f t="shared" si="0"/>
        <v>OVER_QUERY_LIMIT</v>
      </c>
      <c r="H4" s="15"/>
      <c r="I4" s="15"/>
      <c r="J4" s="15"/>
    </row>
    <row r="5" spans="1:10" x14ac:dyDescent="0.25">
      <c r="A5" s="16" t="str">
        <f>Table2[[#Headers],[Straßburg]]</f>
        <v>Straßburg</v>
      </c>
      <c r="B5" s="22" t="str">
        <f t="shared" si="1"/>
        <v>OVER_QUERY_LIMIT</v>
      </c>
      <c r="C5" s="22" t="str">
        <f t="shared" ref="C5:E8" si="2">G_DISTANCE($A5,C$1)</f>
        <v>OVER_QUERY_LIMIT</v>
      </c>
      <c r="D5" s="22" t="str">
        <f>G_DISTANCE($A5,D$1)</f>
        <v>OVER_QUERY_LIMIT</v>
      </c>
      <c r="E5" s="22">
        <f>G_Duration($A5,E$1)</f>
        <v>0</v>
      </c>
      <c r="F5" s="22"/>
      <c r="G5" s="22" t="str">
        <f>G_DISTANCE($A5,G$1)</f>
        <v>OVER_QUERY_LIMIT</v>
      </c>
      <c r="H5" s="15"/>
      <c r="I5" s="15"/>
      <c r="J5" s="15"/>
    </row>
    <row r="6" spans="1:10" x14ac:dyDescent="0.25">
      <c r="A6" s="16" t="str">
        <f>Table2[[#Headers],[Almuñecar]]</f>
        <v>Almuñecar</v>
      </c>
      <c r="B6" s="22" t="str">
        <f t="shared" si="1"/>
        <v>OVER_QUERY_LIMIT</v>
      </c>
      <c r="C6" s="22" t="str">
        <f>G_DISTANCE($A6,C$1)</f>
        <v>OVER_QUERY_LIMIT</v>
      </c>
      <c r="D6" s="22" t="str">
        <f t="shared" si="2"/>
        <v>OVER_QUERY_LIMIT</v>
      </c>
      <c r="E6" s="22" t="str">
        <f>G_DISTANCE($A6,E$1)</f>
        <v>OVER_QUERY_LIMIT</v>
      </c>
      <c r="F6" s="22">
        <f>G_Duration($A6,F$1)</f>
        <v>0</v>
      </c>
      <c r="G6" s="22" t="str">
        <f t="shared" si="0"/>
        <v>OVER_QUERY_LIMIT</v>
      </c>
      <c r="H6" s="15"/>
      <c r="I6" s="15"/>
      <c r="J6" s="15"/>
    </row>
    <row r="7" spans="1:10" x14ac:dyDescent="0.25">
      <c r="A7" s="16" t="str">
        <f>Table2[[#Headers],[Alcobaça]]</f>
        <v>Alcobaça</v>
      </c>
      <c r="B7" s="22" t="str">
        <f t="shared" si="1"/>
        <v>OVER_QUERY_LIMIT</v>
      </c>
      <c r="C7" s="22" t="str">
        <f>G_DISTANCE($A7,C$1)</f>
        <v>OVER_QUERY_LIMIT</v>
      </c>
      <c r="D7" s="22" t="str">
        <f t="shared" si="2"/>
        <v>OVER_QUERY_LIMIT</v>
      </c>
      <c r="E7" s="22" t="str">
        <f t="shared" si="2"/>
        <v>OVER_QUERY_LIMIT</v>
      </c>
      <c r="F7" s="22" t="str">
        <f>G_DISTANCE($A7,F$1)</f>
        <v>OVER_QUERY_LIMIT</v>
      </c>
      <c r="G7" s="22" t="str">
        <f t="shared" si="0"/>
        <v>OVER_QUERY_LIMIT</v>
      </c>
      <c r="H7" s="15"/>
      <c r="I7" s="15"/>
      <c r="J7" s="15"/>
    </row>
    <row r="8" spans="1:10" x14ac:dyDescent="0.25">
      <c r="A8" s="16" t="s">
        <v>99</v>
      </c>
      <c r="B8" s="22">
        <f t="shared" si="1"/>
        <v>5.7069999999999999</v>
      </c>
      <c r="C8" s="22" t="str">
        <f>G_DISTANCE($A8,C$1)</f>
        <v>OVER_QUERY_LIMIT</v>
      </c>
      <c r="D8" s="22" t="str">
        <f t="shared" si="2"/>
        <v>OVER_QUERY_LIMIT</v>
      </c>
      <c r="E8" s="22" t="str">
        <f t="shared" si="2"/>
        <v>OVER_QUERY_LIMIT</v>
      </c>
      <c r="F8" s="22" t="str">
        <f>G_DISTANCE($A8,F$1)</f>
        <v>OVER_QUERY_LIMIT</v>
      </c>
      <c r="G8" s="22" t="str">
        <f t="shared" si="0"/>
        <v>OVER_QUERY_LIMIT</v>
      </c>
      <c r="H8" s="15"/>
      <c r="I8" s="15"/>
      <c r="J8" s="15"/>
    </row>
    <row r="9" spans="1:10" x14ac:dyDescent="0.25">
      <c r="A9" s="21" t="s">
        <v>89</v>
      </c>
      <c r="B9" s="15"/>
      <c r="C9" s="15"/>
      <c r="D9" s="15"/>
      <c r="E9" s="15"/>
      <c r="F9" s="15"/>
      <c r="G9" s="15"/>
      <c r="H9" s="15"/>
      <c r="I9" s="15"/>
      <c r="J9" s="15"/>
    </row>
    <row r="10" spans="1:10" x14ac:dyDescent="0.25">
      <c r="A10" t="s">
        <v>92</v>
      </c>
      <c r="B10" s="15"/>
      <c r="C10" s="15"/>
      <c r="D10" s="15"/>
      <c r="E10" s="15"/>
      <c r="F10" s="15"/>
      <c r="G10" s="15"/>
      <c r="H10" s="15"/>
      <c r="I10" s="15"/>
      <c r="J10" s="15"/>
    </row>
    <row r="11" spans="1:10" x14ac:dyDescent="0.25">
      <c r="A11" t="s">
        <v>90</v>
      </c>
      <c r="B11" s="15"/>
      <c r="C11" s="15"/>
      <c r="D11" s="15"/>
      <c r="E11" s="15"/>
      <c r="F11" s="15"/>
      <c r="G11" s="15"/>
      <c r="H11" s="15"/>
      <c r="I11" s="15"/>
      <c r="J11" s="1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YN262"/>
  <sheetViews>
    <sheetView showGridLines="0" workbookViewId="0">
      <selection activeCell="B23" sqref="B23"/>
    </sheetView>
  </sheetViews>
  <sheetFormatPr defaultRowHeight="15" x14ac:dyDescent="0.25"/>
  <cols>
    <col min="2" max="2" width="34" customWidth="1"/>
    <col min="3" max="3" width="27.140625" bestFit="1" customWidth="1"/>
    <col min="4" max="4" width="21.42578125" bestFit="1" customWidth="1"/>
    <col min="5" max="5" width="16" customWidth="1"/>
    <col min="6" max="6" width="14.28515625" customWidth="1"/>
    <col min="7" max="7" width="13.7109375" customWidth="1"/>
    <col min="8" max="8" width="12.140625" bestFit="1" customWidth="1"/>
    <col min="10" max="10" width="21" customWidth="1"/>
    <col min="11" max="11" width="15.42578125" bestFit="1" customWidth="1"/>
    <col min="648" max="648" width="81.140625" bestFit="1" customWidth="1"/>
    <col min="649" max="649" width="34" bestFit="1" customWidth="1"/>
    <col min="650" max="650" width="20.85546875" customWidth="1"/>
    <col min="651" max="651" width="34" bestFit="1" customWidth="1"/>
    <col min="652" max="652" width="20.85546875" bestFit="1" customWidth="1"/>
    <col min="653" max="653" width="34" bestFit="1" customWidth="1"/>
    <col min="654" max="654" width="20.85546875" bestFit="1" customWidth="1"/>
    <col min="655" max="655" width="34" bestFit="1" customWidth="1"/>
    <col min="656" max="656" width="20.85546875" bestFit="1" customWidth="1"/>
    <col min="657" max="657" width="34" bestFit="1" customWidth="1"/>
    <col min="658" max="658" width="27.140625" bestFit="1" customWidth="1"/>
    <col min="659" max="659" width="34" bestFit="1" customWidth="1"/>
    <col min="660" max="660" width="27.140625" bestFit="1" customWidth="1"/>
    <col min="661" max="661" width="34" bestFit="1" customWidth="1"/>
    <col min="662" max="662" width="27.140625" bestFit="1" customWidth="1"/>
    <col min="663" max="663" width="34" bestFit="1" customWidth="1"/>
    <col min="664" max="664" width="27.140625" bestFit="1" customWidth="1"/>
  </cols>
  <sheetData>
    <row r="1" spans="2:11" ht="23.25" customHeight="1" x14ac:dyDescent="0.25"/>
    <row r="2" spans="2:11" x14ac:dyDescent="0.25">
      <c r="B2" s="12" t="s">
        <v>2</v>
      </c>
      <c r="C2" s="13" t="s">
        <v>0</v>
      </c>
      <c r="D2" s="13" t="s">
        <v>1</v>
      </c>
      <c r="E2" s="13" t="s">
        <v>4</v>
      </c>
      <c r="F2" s="13" t="s">
        <v>5</v>
      </c>
      <c r="G2" s="13" t="s">
        <v>7</v>
      </c>
      <c r="H2" s="13" t="s">
        <v>8</v>
      </c>
    </row>
    <row r="3" spans="2:11" x14ac:dyDescent="0.25">
      <c r="B3" s="4" t="s">
        <v>39</v>
      </c>
      <c r="C3" s="5" t="s">
        <v>23</v>
      </c>
      <c r="D3" s="5" t="s">
        <v>24</v>
      </c>
      <c r="E3" s="5" t="s">
        <v>25</v>
      </c>
      <c r="F3" s="5" t="s">
        <v>26</v>
      </c>
      <c r="G3" s="5" t="s">
        <v>27</v>
      </c>
      <c r="H3" s="5" t="s">
        <v>28</v>
      </c>
    </row>
    <row r="4" spans="2:11" x14ac:dyDescent="0.25">
      <c r="B4" s="4" t="s">
        <v>3</v>
      </c>
      <c r="C4" s="7" t="s">
        <v>87</v>
      </c>
      <c r="D4" s="5" t="str">
        <f>G_LATLNG(C4)</f>
        <v>51.5073509,-0.1277583</v>
      </c>
      <c r="E4" s="7" t="s">
        <v>51</v>
      </c>
      <c r="F4" s="7">
        <v>15</v>
      </c>
      <c r="G4" s="7" t="s">
        <v>6</v>
      </c>
      <c r="H4" s="7" t="s">
        <v>34</v>
      </c>
    </row>
    <row r="5" spans="2:11" x14ac:dyDescent="0.25">
      <c r="B5" s="6" t="s">
        <v>35</v>
      </c>
      <c r="C5" s="8" t="str">
        <f>CONCATENATE(B4,D3,D4,E3,E4,F3,F4,G3,G4,H3,H4,I3,I4)</f>
        <v>http://maps.google.co.uk/maps?&amp;ll=51.5073509,-0.1277583&amp;t=s&amp;z=15&amp;output=embed&amp;iwloc=ss</v>
      </c>
      <c r="D5" s="9"/>
      <c r="E5" s="9"/>
      <c r="F5" s="9"/>
      <c r="G5" s="9"/>
      <c r="H5" s="10"/>
    </row>
    <row r="6" spans="2:11" x14ac:dyDescent="0.25">
      <c r="B6" s="1"/>
    </row>
    <row r="7" spans="2:11" x14ac:dyDescent="0.25">
      <c r="B7" s="12" t="s">
        <v>2</v>
      </c>
      <c r="C7" s="13" t="s">
        <v>0</v>
      </c>
      <c r="D7" s="13" t="s">
        <v>5</v>
      </c>
      <c r="E7" s="13" t="s">
        <v>29</v>
      </c>
      <c r="F7" s="13" t="s">
        <v>4</v>
      </c>
      <c r="G7" s="13" t="s">
        <v>30</v>
      </c>
      <c r="H7" s="13" t="s">
        <v>31</v>
      </c>
      <c r="I7" s="13" t="s">
        <v>32</v>
      </c>
      <c r="J7" s="13" t="s">
        <v>1</v>
      </c>
      <c r="K7" s="13" t="s">
        <v>33</v>
      </c>
    </row>
    <row r="8" spans="2:11" x14ac:dyDescent="0.25">
      <c r="B8" s="4" t="s">
        <v>39</v>
      </c>
      <c r="C8" s="5" t="s">
        <v>10</v>
      </c>
      <c r="D8" s="5" t="s">
        <v>11</v>
      </c>
      <c r="E8" s="5" t="s">
        <v>12</v>
      </c>
      <c r="F8" s="5" t="s">
        <v>13</v>
      </c>
      <c r="G8" s="5" t="s">
        <v>14</v>
      </c>
      <c r="H8" s="5" t="s">
        <v>15</v>
      </c>
      <c r="I8" s="5" t="s">
        <v>16</v>
      </c>
      <c r="J8" s="5" t="s">
        <v>17</v>
      </c>
      <c r="K8" s="5" t="s">
        <v>18</v>
      </c>
    </row>
    <row r="9" spans="2:11" x14ac:dyDescent="0.25">
      <c r="B9" s="4" t="s">
        <v>9</v>
      </c>
      <c r="C9" s="5" t="s">
        <v>87</v>
      </c>
      <c r="D9" s="5">
        <v>15</v>
      </c>
      <c r="E9" s="5" t="s">
        <v>21</v>
      </c>
      <c r="F9" s="5" t="s">
        <v>19</v>
      </c>
      <c r="G9" s="5"/>
      <c r="H9" s="5" t="s">
        <v>20</v>
      </c>
      <c r="I9" s="5" t="s">
        <v>22</v>
      </c>
      <c r="J9" s="5" t="str">
        <f>G_LATLNG(C9)</f>
        <v>51.5073509,-0.1277583</v>
      </c>
      <c r="K9" s="11"/>
    </row>
    <row r="10" spans="2:11" x14ac:dyDescent="0.25">
      <c r="B10" s="4" t="s">
        <v>36</v>
      </c>
      <c r="C10" s="8" t="str">
        <f>CONCATENATE(B9,D8,D9,E8,E9,F8,F9,G8,H8,H9,I8,I9,J8,J9,K8,K9)</f>
        <v>http://maps.google.com/maps/api/staticmap?&amp;zoom=15&amp;size=525x330&amp;maptype=roadmap&amp;markers=color:red|label:A|51.5073509,-0.1277583&amp;sensor=false</v>
      </c>
      <c r="D10" s="9"/>
      <c r="E10" s="9"/>
      <c r="F10" s="9"/>
      <c r="G10" s="9"/>
      <c r="H10" s="9"/>
      <c r="I10" s="9"/>
      <c r="J10" s="9"/>
      <c r="K10" s="10"/>
    </row>
    <row r="13" spans="2:11" x14ac:dyDescent="0.25">
      <c r="B13" t="s">
        <v>50</v>
      </c>
    </row>
    <row r="14" spans="2:11" x14ac:dyDescent="0.25">
      <c r="B14" s="17" t="s">
        <v>41</v>
      </c>
    </row>
    <row r="15" spans="2:11" x14ac:dyDescent="0.25">
      <c r="B15" s="17" t="s">
        <v>40</v>
      </c>
    </row>
    <row r="16" spans="2:11" x14ac:dyDescent="0.25">
      <c r="B16" s="17" t="s">
        <v>42</v>
      </c>
    </row>
    <row r="17" spans="2:10" x14ac:dyDescent="0.25">
      <c r="B17" s="17" t="s">
        <v>48</v>
      </c>
    </row>
    <row r="18" spans="2:10" x14ac:dyDescent="0.25">
      <c r="B18" s="17" t="s">
        <v>49</v>
      </c>
    </row>
    <row r="19" spans="2:10" x14ac:dyDescent="0.25">
      <c r="B19" s="17" t="s">
        <v>43</v>
      </c>
    </row>
    <row r="20" spans="2:10" x14ac:dyDescent="0.25">
      <c r="B20" s="18" t="s">
        <v>53</v>
      </c>
    </row>
    <row r="21" spans="2:10" x14ac:dyDescent="0.25">
      <c r="B21" s="18" t="s">
        <v>52</v>
      </c>
    </row>
    <row r="22" spans="2:10" x14ac:dyDescent="0.25">
      <c r="B22" s="18" t="s">
        <v>54</v>
      </c>
    </row>
    <row r="23" spans="2:10" x14ac:dyDescent="0.25">
      <c r="B23" s="18" t="s">
        <v>55</v>
      </c>
    </row>
    <row r="24" spans="2:10" x14ac:dyDescent="0.25">
      <c r="B24" s="19"/>
    </row>
    <row r="25" spans="2:10" x14ac:dyDescent="0.25">
      <c r="B25" s="18"/>
    </row>
    <row r="26" spans="2:10" x14ac:dyDescent="0.25">
      <c r="B26" s="18"/>
    </row>
    <row r="31" spans="2:10" ht="18.75" x14ac:dyDescent="0.3">
      <c r="D31" s="14" t="s">
        <v>37</v>
      </c>
      <c r="E31" s="14"/>
      <c r="F31" s="14"/>
      <c r="J31" s="14" t="s">
        <v>38</v>
      </c>
    </row>
    <row r="32" spans="2:10" s="3" customFormat="1" x14ac:dyDescent="0.25">
      <c r="D32" s="2"/>
    </row>
    <row r="250" spans="2:664" x14ac:dyDescent="0.25">
      <c r="B250" t="s">
        <v>61</v>
      </c>
      <c r="C250" t="s">
        <v>62</v>
      </c>
      <c r="XX250" t="s">
        <v>86</v>
      </c>
      <c r="YA250" t="s">
        <v>61</v>
      </c>
      <c r="YB250" t="s">
        <v>62</v>
      </c>
      <c r="YC250" t="s">
        <v>61</v>
      </c>
      <c r="YD250" t="s">
        <v>62</v>
      </c>
      <c r="YE250" t="s">
        <v>61</v>
      </c>
      <c r="YF250" t="s">
        <v>62</v>
      </c>
      <c r="YG250" t="s">
        <v>61</v>
      </c>
      <c r="YH250" t="s">
        <v>62</v>
      </c>
      <c r="YI250" t="s">
        <v>61</v>
      </c>
      <c r="YJ250" t="s">
        <v>62</v>
      </c>
      <c r="YK250" t="s">
        <v>61</v>
      </c>
      <c r="YL250" t="s">
        <v>62</v>
      </c>
      <c r="YM250" t="s">
        <v>61</v>
      </c>
      <c r="YN250" t="s">
        <v>62</v>
      </c>
    </row>
    <row r="251" spans="2:664" x14ac:dyDescent="0.25">
      <c r="B251" t="s">
        <v>57</v>
      </c>
      <c r="C251" t="s">
        <v>56</v>
      </c>
      <c r="YA251" t="s">
        <v>57</v>
      </c>
      <c r="YB251" t="s">
        <v>80</v>
      </c>
      <c r="YC251" t="s">
        <v>57</v>
      </c>
      <c r="YD251" t="s">
        <v>80</v>
      </c>
      <c r="YE251" t="s">
        <v>57</v>
      </c>
      <c r="YF251" t="s">
        <v>80</v>
      </c>
      <c r="YG251" t="s">
        <v>57</v>
      </c>
      <c r="YH251" t="s">
        <v>56</v>
      </c>
      <c r="YI251" t="s">
        <v>57</v>
      </c>
      <c r="YJ251" t="s">
        <v>56</v>
      </c>
      <c r="YK251" t="s">
        <v>57</v>
      </c>
      <c r="YL251" t="s">
        <v>56</v>
      </c>
      <c r="YM251" t="s">
        <v>57</v>
      </c>
      <c r="YN251" t="s">
        <v>56</v>
      </c>
    </row>
    <row r="252" spans="2:664" x14ac:dyDescent="0.25">
      <c r="B252" t="s">
        <v>58</v>
      </c>
      <c r="C252" t="s">
        <v>63</v>
      </c>
      <c r="YA252" t="s">
        <v>58</v>
      </c>
      <c r="YB252" t="s">
        <v>63</v>
      </c>
      <c r="YC252" t="s">
        <v>58</v>
      </c>
      <c r="YD252" t="s">
        <v>63</v>
      </c>
      <c r="YE252" t="s">
        <v>58</v>
      </c>
      <c r="YF252" t="s">
        <v>63</v>
      </c>
      <c r="YG252" t="s">
        <v>58</v>
      </c>
      <c r="YH252" t="s">
        <v>63</v>
      </c>
      <c r="YI252" t="s">
        <v>58</v>
      </c>
      <c r="YJ252" t="s">
        <v>63</v>
      </c>
      <c r="YK252" t="s">
        <v>58</v>
      </c>
      <c r="YL252" t="s">
        <v>63</v>
      </c>
      <c r="YM252" t="s">
        <v>58</v>
      </c>
      <c r="YN252" t="s">
        <v>63</v>
      </c>
    </row>
    <row r="253" spans="2:664" x14ac:dyDescent="0.25">
      <c r="B253" t="s">
        <v>64</v>
      </c>
      <c r="C253" t="s">
        <v>65</v>
      </c>
      <c r="YA253" t="s">
        <v>64</v>
      </c>
      <c r="YB253" t="s">
        <v>81</v>
      </c>
      <c r="YC253" t="s">
        <v>64</v>
      </c>
      <c r="YD253" t="s">
        <v>81</v>
      </c>
      <c r="YE253" t="s">
        <v>64</v>
      </c>
      <c r="YF253" t="s">
        <v>81</v>
      </c>
      <c r="YG253" t="s">
        <v>64</v>
      </c>
      <c r="YH253" t="s">
        <v>65</v>
      </c>
      <c r="YI253" t="s">
        <v>64</v>
      </c>
      <c r="YJ253" t="s">
        <v>65</v>
      </c>
      <c r="YK253" t="s">
        <v>64</v>
      </c>
      <c r="YL253" t="s">
        <v>65</v>
      </c>
      <c r="YM253" t="s">
        <v>64</v>
      </c>
      <c r="YN253" t="s">
        <v>65</v>
      </c>
    </row>
    <row r="254" spans="2:664" x14ac:dyDescent="0.25">
      <c r="B254" t="s">
        <v>66</v>
      </c>
      <c r="C254" t="s">
        <v>67</v>
      </c>
      <c r="YA254" t="s">
        <v>66</v>
      </c>
      <c r="YB254" t="s">
        <v>82</v>
      </c>
      <c r="YC254" t="s">
        <v>66</v>
      </c>
      <c r="YD254" t="s">
        <v>82</v>
      </c>
      <c r="YE254" t="s">
        <v>66</v>
      </c>
      <c r="YF254" t="s">
        <v>82</v>
      </c>
      <c r="YG254" t="s">
        <v>66</v>
      </c>
      <c r="YH254" t="s">
        <v>67</v>
      </c>
      <c r="YI254" t="s">
        <v>66</v>
      </c>
      <c r="YJ254" t="s">
        <v>67</v>
      </c>
      <c r="YK254" t="s">
        <v>66</v>
      </c>
      <c r="YL254" t="s">
        <v>67</v>
      </c>
      <c r="YM254" t="s">
        <v>66</v>
      </c>
      <c r="YN254" t="s">
        <v>67</v>
      </c>
    </row>
    <row r="255" spans="2:664" x14ac:dyDescent="0.25">
      <c r="B255" t="s">
        <v>68</v>
      </c>
      <c r="C255" t="s">
        <v>69</v>
      </c>
      <c r="YA255" t="s">
        <v>68</v>
      </c>
      <c r="YB255" t="s">
        <v>69</v>
      </c>
      <c r="YC255" t="s">
        <v>68</v>
      </c>
      <c r="YD255" t="s">
        <v>69</v>
      </c>
      <c r="YE255" t="s">
        <v>68</v>
      </c>
      <c r="YF255" t="s">
        <v>69</v>
      </c>
      <c r="YG255" t="s">
        <v>68</v>
      </c>
      <c r="YH255" t="s">
        <v>69</v>
      </c>
      <c r="YI255" t="s">
        <v>68</v>
      </c>
      <c r="YJ255" t="s">
        <v>69</v>
      </c>
      <c r="YK255" t="s">
        <v>68</v>
      </c>
      <c r="YL255" t="s">
        <v>69</v>
      </c>
      <c r="YM255" t="s">
        <v>68</v>
      </c>
      <c r="YN255" t="s">
        <v>69</v>
      </c>
    </row>
    <row r="256" spans="2:664" x14ac:dyDescent="0.25">
      <c r="B256" t="s">
        <v>59</v>
      </c>
      <c r="C256" t="s">
        <v>70</v>
      </c>
      <c r="YA256" t="s">
        <v>59</v>
      </c>
      <c r="YB256" t="s">
        <v>83</v>
      </c>
      <c r="YC256" t="s">
        <v>59</v>
      </c>
      <c r="YD256" t="s">
        <v>83</v>
      </c>
      <c r="YE256" t="s">
        <v>59</v>
      </c>
      <c r="YF256" t="s">
        <v>83</v>
      </c>
      <c r="YG256" t="s">
        <v>59</v>
      </c>
      <c r="YH256" t="s">
        <v>70</v>
      </c>
      <c r="YI256" t="s">
        <v>59</v>
      </c>
      <c r="YJ256" t="s">
        <v>70</v>
      </c>
      <c r="YK256" t="s">
        <v>59</v>
      </c>
      <c r="YL256" t="s">
        <v>70</v>
      </c>
      <c r="YM256" t="s">
        <v>59</v>
      </c>
      <c r="YN256" t="s">
        <v>70</v>
      </c>
    </row>
    <row r="257" spans="2:664" x14ac:dyDescent="0.25">
      <c r="B257" t="s">
        <v>71</v>
      </c>
      <c r="C257" t="s">
        <v>72</v>
      </c>
      <c r="YA257" t="s">
        <v>71</v>
      </c>
      <c r="YB257" t="s">
        <v>84</v>
      </c>
      <c r="YC257" t="s">
        <v>71</v>
      </c>
      <c r="YD257" t="s">
        <v>84</v>
      </c>
      <c r="YE257" t="s">
        <v>71</v>
      </c>
      <c r="YF257" t="s">
        <v>84</v>
      </c>
      <c r="YG257" t="s">
        <v>71</v>
      </c>
      <c r="YH257" t="s">
        <v>72</v>
      </c>
      <c r="YI257" t="s">
        <v>71</v>
      </c>
      <c r="YJ257" t="s">
        <v>72</v>
      </c>
      <c r="YK257" t="s">
        <v>71</v>
      </c>
      <c r="YL257" t="s">
        <v>72</v>
      </c>
      <c r="YM257" t="s">
        <v>71</v>
      </c>
      <c r="YN257" t="s">
        <v>72</v>
      </c>
    </row>
    <row r="258" spans="2:664" x14ac:dyDescent="0.25">
      <c r="B258" t="s">
        <v>60</v>
      </c>
      <c r="C258" t="s">
        <v>73</v>
      </c>
      <c r="YA258" t="s">
        <v>60</v>
      </c>
      <c r="YB258" t="s">
        <v>73</v>
      </c>
      <c r="YC258" t="s">
        <v>60</v>
      </c>
      <c r="YD258" t="s">
        <v>73</v>
      </c>
      <c r="YE258" t="s">
        <v>60</v>
      </c>
      <c r="YF258" t="s">
        <v>73</v>
      </c>
      <c r="YG258" t="s">
        <v>60</v>
      </c>
      <c r="YH258" t="s">
        <v>73</v>
      </c>
      <c r="YI258" t="s">
        <v>60</v>
      </c>
      <c r="YJ258" t="s">
        <v>73</v>
      </c>
      <c r="YK258" t="s">
        <v>60</v>
      </c>
      <c r="YL258" t="s">
        <v>73</v>
      </c>
      <c r="YM258" t="s">
        <v>60</v>
      </c>
      <c r="YN258" t="s">
        <v>73</v>
      </c>
    </row>
    <row r="259" spans="2:664" x14ac:dyDescent="0.25">
      <c r="B259" t="s">
        <v>74</v>
      </c>
      <c r="C259" t="s">
        <v>75</v>
      </c>
      <c r="YA259" t="s">
        <v>74</v>
      </c>
      <c r="YB259" t="s">
        <v>75</v>
      </c>
      <c r="YC259" t="s">
        <v>74</v>
      </c>
      <c r="YD259" t="s">
        <v>75</v>
      </c>
      <c r="YE259" t="s">
        <v>74</v>
      </c>
      <c r="YF259" t="s">
        <v>75</v>
      </c>
      <c r="YG259" t="s">
        <v>74</v>
      </c>
      <c r="YH259" t="s">
        <v>75</v>
      </c>
      <c r="YI259" t="s">
        <v>74</v>
      </c>
      <c r="YJ259" t="s">
        <v>75</v>
      </c>
      <c r="YK259" t="s">
        <v>74</v>
      </c>
      <c r="YL259" t="s">
        <v>75</v>
      </c>
      <c r="YM259" t="s">
        <v>74</v>
      </c>
      <c r="YN259" t="s">
        <v>75</v>
      </c>
    </row>
    <row r="260" spans="2:664" x14ac:dyDescent="0.25">
      <c r="B260" t="s">
        <v>76</v>
      </c>
      <c r="C260">
        <v>44</v>
      </c>
      <c r="YA260" t="s">
        <v>76</v>
      </c>
      <c r="YB260">
        <v>44</v>
      </c>
      <c r="YC260" t="s">
        <v>76</v>
      </c>
      <c r="YD260">
        <v>44</v>
      </c>
      <c r="YE260" t="s">
        <v>76</v>
      </c>
      <c r="YF260">
        <v>44</v>
      </c>
      <c r="YG260" t="s">
        <v>76</v>
      </c>
      <c r="YH260">
        <v>44</v>
      </c>
      <c r="YI260" t="s">
        <v>76</v>
      </c>
      <c r="YJ260">
        <v>44</v>
      </c>
      <c r="YK260" t="s">
        <v>76</v>
      </c>
      <c r="YL260">
        <v>44</v>
      </c>
      <c r="YM260" t="s">
        <v>76</v>
      </c>
      <c r="YN260">
        <v>44</v>
      </c>
    </row>
    <row r="261" spans="2:664" x14ac:dyDescent="0.25">
      <c r="B261" t="s">
        <v>77</v>
      </c>
      <c r="C261" t="s">
        <v>78</v>
      </c>
      <c r="YA261" t="s">
        <v>77</v>
      </c>
      <c r="YB261" t="s">
        <v>85</v>
      </c>
      <c r="YC261" t="s">
        <v>77</v>
      </c>
      <c r="YD261" t="s">
        <v>85</v>
      </c>
      <c r="YE261" t="s">
        <v>77</v>
      </c>
      <c r="YF261" t="s">
        <v>85</v>
      </c>
      <c r="YG261" t="s">
        <v>77</v>
      </c>
      <c r="YH261" t="s">
        <v>78</v>
      </c>
      <c r="YI261" t="s">
        <v>77</v>
      </c>
      <c r="YJ261" t="s">
        <v>78</v>
      </c>
      <c r="YK261" t="s">
        <v>77</v>
      </c>
      <c r="YL261" t="s">
        <v>78</v>
      </c>
      <c r="YM261" t="s">
        <v>77</v>
      </c>
      <c r="YN261" t="s">
        <v>78</v>
      </c>
    </row>
    <row r="262" spans="2:664" x14ac:dyDescent="0.25">
      <c r="B262" t="s">
        <v>79</v>
      </c>
      <c r="C262" t="s">
        <v>69</v>
      </c>
      <c r="YA262" t="s">
        <v>79</v>
      </c>
      <c r="YB262" t="s">
        <v>69</v>
      </c>
      <c r="YC262" t="s">
        <v>79</v>
      </c>
      <c r="YD262" t="s">
        <v>69</v>
      </c>
      <c r="YE262" t="s">
        <v>79</v>
      </c>
      <c r="YF262" t="s">
        <v>69</v>
      </c>
      <c r="YG262" t="s">
        <v>79</v>
      </c>
      <c r="YH262" t="s">
        <v>69</v>
      </c>
      <c r="YI262" t="s">
        <v>79</v>
      </c>
      <c r="YJ262" t="s">
        <v>69</v>
      </c>
      <c r="YK262" t="s">
        <v>79</v>
      </c>
      <c r="YL262" t="s">
        <v>69</v>
      </c>
      <c r="YM262" t="s">
        <v>79</v>
      </c>
      <c r="YN262" t="s">
        <v>69</v>
      </c>
    </row>
  </sheetData>
  <dataValidations count="1">
    <dataValidation type="list" allowBlank="1" showInputMessage="1" showErrorMessage="1" sqref="B12">
      <formula1>$B$14:$B$26</formula1>
    </dataValidation>
  </dataValidations>
  <pageMargins left="0.7" right="0.7" top="0.75" bottom="0.75" header="0.3" footer="0.3"/>
  <pageSetup paperSize="165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WebBrowser2">
          <controlPr autoLine="0" autoPict="0" r:id="rId5">
            <anchor moveWithCells="1">
              <from>
                <xdr:col>6</xdr:col>
                <xdr:colOff>666750</xdr:colOff>
                <xdr:row>11</xdr:row>
                <xdr:rowOff>57150</xdr:rowOff>
              </from>
              <to>
                <xdr:col>13</xdr:col>
                <xdr:colOff>142875</xdr:colOff>
                <xdr:row>29</xdr:row>
                <xdr:rowOff>123825</xdr:rowOff>
              </to>
            </anchor>
          </controlPr>
        </control>
      </mc:Choice>
      <mc:Fallback>
        <control shapeId="1028" r:id="rId4" name="WebBrowser2"/>
      </mc:Fallback>
    </mc:AlternateContent>
    <mc:AlternateContent xmlns:mc="http://schemas.openxmlformats.org/markup-compatibility/2006">
      <mc:Choice Requires="x14">
        <control shapeId="1026" r:id="rId6" name="WebBrowser1">
          <controlPr autoLine="0" autoPict="0" r:id="rId7">
            <anchor moveWithCells="1">
              <from>
                <xdr:col>2</xdr:col>
                <xdr:colOff>142875</xdr:colOff>
                <xdr:row>11</xdr:row>
                <xdr:rowOff>57150</xdr:rowOff>
              </from>
              <to>
                <xdr:col>6</xdr:col>
                <xdr:colOff>209550</xdr:colOff>
                <xdr:row>29</xdr:row>
                <xdr:rowOff>133350</xdr:rowOff>
              </to>
            </anchor>
          </controlPr>
        </control>
      </mc:Choice>
      <mc:Fallback>
        <control shapeId="1026" r:id="rId6" name="WebBrowser1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W152"/>
  <sheetViews>
    <sheetView topLeftCell="P1" workbookViewId="0">
      <pane ySplit="1" topLeftCell="A31" activePane="bottomLeft" state="frozen"/>
      <selection pane="bottomLeft" activeCell="AQ42" sqref="AQ42"/>
    </sheetView>
  </sheetViews>
  <sheetFormatPr defaultRowHeight="15" x14ac:dyDescent="0.25"/>
  <cols>
    <col min="1" max="1" width="56.42578125" style="27" customWidth="1"/>
    <col min="2" max="2" width="5.85546875" style="28" customWidth="1"/>
    <col min="3" max="3" width="5.85546875" style="29" customWidth="1"/>
    <col min="4" max="152" width="5.85546875" customWidth="1"/>
    <col min="257" max="257" width="56.42578125" customWidth="1"/>
    <col min="258" max="408" width="5.85546875" customWidth="1"/>
    <col min="513" max="513" width="56.42578125" customWidth="1"/>
    <col min="514" max="664" width="5.85546875" customWidth="1"/>
    <col min="769" max="769" width="56.42578125" customWidth="1"/>
    <col min="770" max="920" width="5.85546875" customWidth="1"/>
    <col min="1025" max="1025" width="56.42578125" customWidth="1"/>
    <col min="1026" max="1176" width="5.85546875" customWidth="1"/>
    <col min="1281" max="1281" width="56.42578125" customWidth="1"/>
    <col min="1282" max="1432" width="5.85546875" customWidth="1"/>
    <col min="1537" max="1537" width="56.42578125" customWidth="1"/>
    <col min="1538" max="1688" width="5.85546875" customWidth="1"/>
    <col min="1793" max="1793" width="56.42578125" customWidth="1"/>
    <col min="1794" max="1944" width="5.85546875" customWidth="1"/>
    <col min="2049" max="2049" width="56.42578125" customWidth="1"/>
    <col min="2050" max="2200" width="5.85546875" customWidth="1"/>
    <col min="2305" max="2305" width="56.42578125" customWidth="1"/>
    <col min="2306" max="2456" width="5.85546875" customWidth="1"/>
    <col min="2561" max="2561" width="56.42578125" customWidth="1"/>
    <col min="2562" max="2712" width="5.85546875" customWidth="1"/>
    <col min="2817" max="2817" width="56.42578125" customWidth="1"/>
    <col min="2818" max="2968" width="5.85546875" customWidth="1"/>
    <col min="3073" max="3073" width="56.42578125" customWidth="1"/>
    <col min="3074" max="3224" width="5.85546875" customWidth="1"/>
    <col min="3329" max="3329" width="56.42578125" customWidth="1"/>
    <col min="3330" max="3480" width="5.85546875" customWidth="1"/>
    <col min="3585" max="3585" width="56.42578125" customWidth="1"/>
    <col min="3586" max="3736" width="5.85546875" customWidth="1"/>
    <col min="3841" max="3841" width="56.42578125" customWidth="1"/>
    <col min="3842" max="3992" width="5.85546875" customWidth="1"/>
    <col min="4097" max="4097" width="56.42578125" customWidth="1"/>
    <col min="4098" max="4248" width="5.85546875" customWidth="1"/>
    <col min="4353" max="4353" width="56.42578125" customWidth="1"/>
    <col min="4354" max="4504" width="5.85546875" customWidth="1"/>
    <col min="4609" max="4609" width="56.42578125" customWidth="1"/>
    <col min="4610" max="4760" width="5.85546875" customWidth="1"/>
    <col min="4865" max="4865" width="56.42578125" customWidth="1"/>
    <col min="4866" max="5016" width="5.85546875" customWidth="1"/>
    <col min="5121" max="5121" width="56.42578125" customWidth="1"/>
    <col min="5122" max="5272" width="5.85546875" customWidth="1"/>
    <col min="5377" max="5377" width="56.42578125" customWidth="1"/>
    <col min="5378" max="5528" width="5.85546875" customWidth="1"/>
    <col min="5633" max="5633" width="56.42578125" customWidth="1"/>
    <col min="5634" max="5784" width="5.85546875" customWidth="1"/>
    <col min="5889" max="5889" width="56.42578125" customWidth="1"/>
    <col min="5890" max="6040" width="5.85546875" customWidth="1"/>
    <col min="6145" max="6145" width="56.42578125" customWidth="1"/>
    <col min="6146" max="6296" width="5.85546875" customWidth="1"/>
    <col min="6401" max="6401" width="56.42578125" customWidth="1"/>
    <col min="6402" max="6552" width="5.85546875" customWidth="1"/>
    <col min="6657" max="6657" width="56.42578125" customWidth="1"/>
    <col min="6658" max="6808" width="5.85546875" customWidth="1"/>
    <col min="6913" max="6913" width="56.42578125" customWidth="1"/>
    <col min="6914" max="7064" width="5.85546875" customWidth="1"/>
    <col min="7169" max="7169" width="56.42578125" customWidth="1"/>
    <col min="7170" max="7320" width="5.85546875" customWidth="1"/>
    <col min="7425" max="7425" width="56.42578125" customWidth="1"/>
    <col min="7426" max="7576" width="5.85546875" customWidth="1"/>
    <col min="7681" max="7681" width="56.42578125" customWidth="1"/>
    <col min="7682" max="7832" width="5.85546875" customWidth="1"/>
    <col min="7937" max="7937" width="56.42578125" customWidth="1"/>
    <col min="7938" max="8088" width="5.85546875" customWidth="1"/>
    <col min="8193" max="8193" width="56.42578125" customWidth="1"/>
    <col min="8194" max="8344" width="5.85546875" customWidth="1"/>
    <col min="8449" max="8449" width="56.42578125" customWidth="1"/>
    <col min="8450" max="8600" width="5.85546875" customWidth="1"/>
    <col min="8705" max="8705" width="56.42578125" customWidth="1"/>
    <col min="8706" max="8856" width="5.85546875" customWidth="1"/>
    <col min="8961" max="8961" width="56.42578125" customWidth="1"/>
    <col min="8962" max="9112" width="5.85546875" customWidth="1"/>
    <col min="9217" max="9217" width="56.42578125" customWidth="1"/>
    <col min="9218" max="9368" width="5.85546875" customWidth="1"/>
    <col min="9473" max="9473" width="56.42578125" customWidth="1"/>
    <col min="9474" max="9624" width="5.85546875" customWidth="1"/>
    <col min="9729" max="9729" width="56.42578125" customWidth="1"/>
    <col min="9730" max="9880" width="5.85546875" customWidth="1"/>
    <col min="9985" max="9985" width="56.42578125" customWidth="1"/>
    <col min="9986" max="10136" width="5.85546875" customWidth="1"/>
    <col min="10241" max="10241" width="56.42578125" customWidth="1"/>
    <col min="10242" max="10392" width="5.85546875" customWidth="1"/>
    <col min="10497" max="10497" width="56.42578125" customWidth="1"/>
    <col min="10498" max="10648" width="5.85546875" customWidth="1"/>
    <col min="10753" max="10753" width="56.42578125" customWidth="1"/>
    <col min="10754" max="10904" width="5.85546875" customWidth="1"/>
    <col min="11009" max="11009" width="56.42578125" customWidth="1"/>
    <col min="11010" max="11160" width="5.85546875" customWidth="1"/>
    <col min="11265" max="11265" width="56.42578125" customWidth="1"/>
    <col min="11266" max="11416" width="5.85546875" customWidth="1"/>
    <col min="11521" max="11521" width="56.42578125" customWidth="1"/>
    <col min="11522" max="11672" width="5.85546875" customWidth="1"/>
    <col min="11777" max="11777" width="56.42578125" customWidth="1"/>
    <col min="11778" max="11928" width="5.85546875" customWidth="1"/>
    <col min="12033" max="12033" width="56.42578125" customWidth="1"/>
    <col min="12034" max="12184" width="5.85546875" customWidth="1"/>
    <col min="12289" max="12289" width="56.42578125" customWidth="1"/>
    <col min="12290" max="12440" width="5.85546875" customWidth="1"/>
    <col min="12545" max="12545" width="56.42578125" customWidth="1"/>
    <col min="12546" max="12696" width="5.85546875" customWidth="1"/>
    <col min="12801" max="12801" width="56.42578125" customWidth="1"/>
    <col min="12802" max="12952" width="5.85546875" customWidth="1"/>
    <col min="13057" max="13057" width="56.42578125" customWidth="1"/>
    <col min="13058" max="13208" width="5.85546875" customWidth="1"/>
    <col min="13313" max="13313" width="56.42578125" customWidth="1"/>
    <col min="13314" max="13464" width="5.85546875" customWidth="1"/>
    <col min="13569" max="13569" width="56.42578125" customWidth="1"/>
    <col min="13570" max="13720" width="5.85546875" customWidth="1"/>
    <col min="13825" max="13825" width="56.42578125" customWidth="1"/>
    <col min="13826" max="13976" width="5.85546875" customWidth="1"/>
    <col min="14081" max="14081" width="56.42578125" customWidth="1"/>
    <col min="14082" max="14232" width="5.85546875" customWidth="1"/>
    <col min="14337" max="14337" width="56.42578125" customWidth="1"/>
    <col min="14338" max="14488" width="5.85546875" customWidth="1"/>
    <col min="14593" max="14593" width="56.42578125" customWidth="1"/>
    <col min="14594" max="14744" width="5.85546875" customWidth="1"/>
    <col min="14849" max="14849" width="56.42578125" customWidth="1"/>
    <col min="14850" max="15000" width="5.85546875" customWidth="1"/>
    <col min="15105" max="15105" width="56.42578125" customWidth="1"/>
    <col min="15106" max="15256" width="5.85546875" customWidth="1"/>
    <col min="15361" max="15361" width="56.42578125" customWidth="1"/>
    <col min="15362" max="15512" width="5.85546875" customWidth="1"/>
    <col min="15617" max="15617" width="56.42578125" customWidth="1"/>
    <col min="15618" max="15768" width="5.85546875" customWidth="1"/>
    <col min="15873" max="15873" width="56.42578125" customWidth="1"/>
    <col min="15874" max="16024" width="5.85546875" customWidth="1"/>
    <col min="16129" max="16129" width="56.42578125" customWidth="1"/>
    <col min="16130" max="16280" width="5.85546875" customWidth="1"/>
  </cols>
  <sheetData>
    <row r="1" spans="1:153" ht="37.5" customHeight="1" x14ac:dyDescent="0.25">
      <c r="A1" s="23"/>
      <c r="B1" s="24">
        <v>2</v>
      </c>
      <c r="C1" s="24">
        <v>3</v>
      </c>
      <c r="D1" s="24">
        <v>4</v>
      </c>
      <c r="E1" s="24">
        <v>5</v>
      </c>
      <c r="F1" s="24">
        <v>6</v>
      </c>
      <c r="G1" s="24">
        <v>7</v>
      </c>
      <c r="H1" s="24">
        <v>8</v>
      </c>
      <c r="I1" s="24">
        <v>9</v>
      </c>
      <c r="J1" s="24">
        <v>10</v>
      </c>
      <c r="K1" s="24">
        <v>11</v>
      </c>
      <c r="L1" s="24">
        <v>12</v>
      </c>
      <c r="M1" s="24">
        <v>13</v>
      </c>
      <c r="N1" s="24">
        <v>14</v>
      </c>
      <c r="O1" s="24">
        <v>15</v>
      </c>
      <c r="P1" s="24">
        <v>16</v>
      </c>
      <c r="Q1" s="24">
        <v>17</v>
      </c>
      <c r="R1" s="24">
        <v>18</v>
      </c>
      <c r="S1" s="24">
        <v>19</v>
      </c>
      <c r="T1" s="24">
        <v>20</v>
      </c>
      <c r="U1" s="24">
        <v>21</v>
      </c>
      <c r="V1" s="24">
        <v>22</v>
      </c>
      <c r="W1" s="24">
        <v>23</v>
      </c>
      <c r="X1" s="24">
        <v>24</v>
      </c>
      <c r="Y1" s="24">
        <v>25</v>
      </c>
      <c r="Z1" s="24">
        <v>26</v>
      </c>
      <c r="AA1" s="24">
        <v>27</v>
      </c>
      <c r="AB1" s="24">
        <v>28</v>
      </c>
      <c r="AC1" s="24">
        <v>29</v>
      </c>
      <c r="AD1" s="24">
        <v>30</v>
      </c>
      <c r="AE1" s="24">
        <v>31</v>
      </c>
      <c r="AF1" s="24">
        <v>32</v>
      </c>
      <c r="AG1" s="24">
        <v>33</v>
      </c>
      <c r="AH1" s="24">
        <v>34</v>
      </c>
      <c r="AI1" s="24">
        <v>35</v>
      </c>
      <c r="AJ1" s="24">
        <v>36</v>
      </c>
      <c r="AK1" s="24">
        <v>37</v>
      </c>
      <c r="AL1" s="24">
        <v>38</v>
      </c>
      <c r="AM1" s="24">
        <v>39</v>
      </c>
      <c r="AN1" s="24">
        <v>40</v>
      </c>
      <c r="AO1" s="24">
        <v>41</v>
      </c>
      <c r="AP1" s="24">
        <v>42</v>
      </c>
      <c r="AQ1" s="24">
        <v>43</v>
      </c>
      <c r="AR1" s="24">
        <v>44</v>
      </c>
      <c r="AS1" s="24">
        <v>45</v>
      </c>
      <c r="AT1" s="24">
        <v>46</v>
      </c>
      <c r="AU1" s="24">
        <v>47</v>
      </c>
      <c r="AV1" s="24">
        <v>48</v>
      </c>
      <c r="AW1" s="24">
        <v>49</v>
      </c>
      <c r="AX1" s="24">
        <v>50</v>
      </c>
      <c r="AY1" s="24">
        <v>51</v>
      </c>
      <c r="AZ1" s="24">
        <v>52</v>
      </c>
      <c r="BA1" s="24">
        <v>53</v>
      </c>
      <c r="BB1" s="24">
        <v>54</v>
      </c>
      <c r="BC1" s="24">
        <v>55</v>
      </c>
      <c r="BD1" s="24">
        <v>56</v>
      </c>
      <c r="BE1" s="24">
        <v>57</v>
      </c>
      <c r="BF1" s="24">
        <v>58</v>
      </c>
      <c r="BG1" s="24">
        <v>59</v>
      </c>
      <c r="BH1" s="24">
        <v>60</v>
      </c>
      <c r="BI1" s="24">
        <v>61</v>
      </c>
      <c r="BJ1" s="24">
        <v>62</v>
      </c>
      <c r="BK1" s="24">
        <v>63</v>
      </c>
      <c r="BL1" s="24">
        <v>64</v>
      </c>
      <c r="BM1" s="24">
        <v>65</v>
      </c>
      <c r="BN1" s="24">
        <v>66</v>
      </c>
      <c r="BO1" s="24">
        <v>67</v>
      </c>
      <c r="BP1" s="24">
        <v>68</v>
      </c>
      <c r="BQ1" s="24">
        <v>69</v>
      </c>
      <c r="BR1" s="24">
        <v>70</v>
      </c>
      <c r="BS1" s="24">
        <v>71</v>
      </c>
      <c r="BT1" s="24">
        <v>72</v>
      </c>
      <c r="BU1" s="24">
        <v>73</v>
      </c>
      <c r="BV1" s="24">
        <v>74</v>
      </c>
      <c r="BW1" s="24">
        <v>75</v>
      </c>
      <c r="BX1" s="24">
        <v>76</v>
      </c>
      <c r="BY1" s="24">
        <v>77</v>
      </c>
      <c r="BZ1" s="24">
        <v>78</v>
      </c>
      <c r="CA1" s="24">
        <v>79</v>
      </c>
      <c r="CB1" s="24">
        <v>80</v>
      </c>
      <c r="CC1" s="24">
        <v>81</v>
      </c>
      <c r="CD1" s="24">
        <v>82</v>
      </c>
      <c r="CE1" s="24">
        <v>83</v>
      </c>
      <c r="CF1" s="24">
        <v>84</v>
      </c>
      <c r="CG1" s="24">
        <v>85</v>
      </c>
      <c r="CH1" s="24">
        <v>86</v>
      </c>
      <c r="CI1" s="24">
        <v>87</v>
      </c>
      <c r="CJ1" s="24">
        <v>88</v>
      </c>
      <c r="CK1" s="24">
        <v>89</v>
      </c>
      <c r="CL1" s="24">
        <v>90</v>
      </c>
      <c r="CM1" s="24">
        <v>91</v>
      </c>
      <c r="CN1" s="24">
        <v>92</v>
      </c>
      <c r="CO1" s="24">
        <v>93</v>
      </c>
      <c r="CP1" s="24">
        <v>94</v>
      </c>
      <c r="CQ1" s="24">
        <v>95</v>
      </c>
      <c r="CR1" s="24">
        <v>96</v>
      </c>
      <c r="CS1" s="24">
        <v>97</v>
      </c>
      <c r="CT1" s="24">
        <v>98</v>
      </c>
      <c r="CU1" s="24">
        <v>99</v>
      </c>
      <c r="CV1" s="24">
        <v>100</v>
      </c>
      <c r="CW1" s="24">
        <v>101</v>
      </c>
      <c r="CX1" s="24">
        <v>102</v>
      </c>
      <c r="CY1" s="24">
        <v>103</v>
      </c>
      <c r="CZ1" s="24">
        <v>104</v>
      </c>
      <c r="DA1" s="24">
        <v>105</v>
      </c>
      <c r="DB1" s="24">
        <v>106</v>
      </c>
      <c r="DC1" s="24">
        <v>107</v>
      </c>
      <c r="DD1" s="24">
        <v>108</v>
      </c>
      <c r="DE1" s="24">
        <v>109</v>
      </c>
      <c r="DF1" s="24">
        <v>110</v>
      </c>
      <c r="DG1" s="24">
        <v>111</v>
      </c>
      <c r="DH1" s="24">
        <v>112</v>
      </c>
      <c r="DI1" s="24">
        <v>113</v>
      </c>
      <c r="DJ1" s="24">
        <v>114</v>
      </c>
      <c r="DK1" s="24">
        <v>115</v>
      </c>
      <c r="DL1" s="24">
        <v>116</v>
      </c>
      <c r="DM1" s="24">
        <v>117</v>
      </c>
      <c r="DN1" s="24">
        <v>118</v>
      </c>
      <c r="DO1" s="24">
        <v>119</v>
      </c>
      <c r="DP1" s="24">
        <v>120</v>
      </c>
      <c r="DQ1" s="24">
        <v>121</v>
      </c>
      <c r="DR1" s="24">
        <v>122</v>
      </c>
      <c r="DS1" s="24">
        <v>123</v>
      </c>
      <c r="DT1" s="24">
        <v>124</v>
      </c>
      <c r="DU1" s="24">
        <v>125</v>
      </c>
      <c r="DV1" s="24">
        <v>126</v>
      </c>
      <c r="DW1" s="24">
        <v>127</v>
      </c>
      <c r="DX1" s="24">
        <v>128</v>
      </c>
      <c r="DY1" s="24">
        <v>129</v>
      </c>
      <c r="DZ1" s="24">
        <v>130</v>
      </c>
      <c r="EA1" s="24">
        <v>131</v>
      </c>
      <c r="EB1" s="24">
        <v>132</v>
      </c>
      <c r="EC1" s="24">
        <v>133</v>
      </c>
      <c r="ED1" s="24">
        <v>134</v>
      </c>
      <c r="EE1" s="24">
        <v>135</v>
      </c>
      <c r="EF1" s="24">
        <v>136</v>
      </c>
      <c r="EG1" s="24">
        <v>137</v>
      </c>
      <c r="EH1" s="24">
        <v>138</v>
      </c>
      <c r="EI1" s="24">
        <v>139</v>
      </c>
      <c r="EJ1" s="24">
        <v>140</v>
      </c>
      <c r="EK1" s="24">
        <v>141</v>
      </c>
      <c r="EL1" s="24">
        <v>142</v>
      </c>
      <c r="EM1" s="24">
        <v>143</v>
      </c>
      <c r="EN1" s="24">
        <v>144</v>
      </c>
      <c r="EO1" s="24">
        <v>145</v>
      </c>
      <c r="EP1" s="24">
        <v>146</v>
      </c>
      <c r="EQ1" s="24">
        <v>147</v>
      </c>
      <c r="ER1" s="24">
        <v>148</v>
      </c>
      <c r="ES1" s="24">
        <v>149</v>
      </c>
      <c r="ET1" s="24">
        <v>150</v>
      </c>
      <c r="EU1" s="24">
        <v>151</v>
      </c>
      <c r="EV1" s="24">
        <v>152</v>
      </c>
    </row>
    <row r="2" spans="1:153" ht="17.25" customHeight="1" x14ac:dyDescent="0.25">
      <c r="A2" s="25" t="s">
        <v>99</v>
      </c>
      <c r="B2" s="25">
        <v>0</v>
      </c>
      <c r="C2" s="25">
        <v>1.8959999999999999</v>
      </c>
      <c r="D2" s="25">
        <v>2.7989999999999999</v>
      </c>
      <c r="E2" s="25">
        <v>3.9809999999999999</v>
      </c>
      <c r="F2" s="25">
        <v>4.6749999999999998</v>
      </c>
      <c r="G2" s="25">
        <v>5.7069999999999999</v>
      </c>
      <c r="H2" s="25">
        <v>6.4610000000000003</v>
      </c>
      <c r="I2" s="25">
        <v>7.7329999999999997</v>
      </c>
      <c r="J2" s="25">
        <v>17.381</v>
      </c>
      <c r="K2" s="25">
        <v>16.582000000000001</v>
      </c>
      <c r="L2" s="25">
        <v>15.817</v>
      </c>
      <c r="M2" s="25">
        <v>8.9600000000000009</v>
      </c>
      <c r="N2" s="25">
        <v>7.899</v>
      </c>
      <c r="O2" s="25">
        <v>6.1669999999999998</v>
      </c>
      <c r="P2" s="25">
        <v>7.3310000000000004</v>
      </c>
      <c r="Q2" s="25">
        <v>9.8949999999999996</v>
      </c>
      <c r="R2" s="25">
        <v>8.8580000000000005</v>
      </c>
      <c r="S2" s="25">
        <v>8.1050000000000004</v>
      </c>
      <c r="T2" s="25">
        <v>8.6110000000000007</v>
      </c>
      <c r="U2" s="25">
        <v>10.516</v>
      </c>
      <c r="V2" s="25">
        <v>10.099</v>
      </c>
      <c r="W2" s="25">
        <v>9.3719999999999999</v>
      </c>
      <c r="X2" s="25">
        <v>17.79</v>
      </c>
      <c r="Y2" s="25">
        <v>4.0140000000000002</v>
      </c>
      <c r="Z2" s="25">
        <v>5.4889999999999999</v>
      </c>
      <c r="AA2" s="25">
        <v>6.883</v>
      </c>
      <c r="AB2" s="25">
        <v>8.6180000000000003</v>
      </c>
      <c r="AC2" s="25">
        <v>18.248999999999999</v>
      </c>
      <c r="AD2" s="25">
        <v>17.544</v>
      </c>
      <c r="AE2" s="25">
        <v>1.7569999999999999</v>
      </c>
      <c r="AF2" s="25">
        <v>14.124000000000001</v>
      </c>
      <c r="AG2" s="25">
        <v>14.413</v>
      </c>
      <c r="AH2" s="25">
        <v>1.8959999999999999</v>
      </c>
      <c r="AI2" s="25">
        <v>6.1669999999999998</v>
      </c>
      <c r="AJ2" s="25">
        <v>6.4610000000000003</v>
      </c>
      <c r="AK2" s="25">
        <v>7.7329999999999997</v>
      </c>
      <c r="AL2" s="25">
        <v>9.8949999999999996</v>
      </c>
      <c r="AM2" s="25">
        <v>14.215999999999999</v>
      </c>
      <c r="AN2" s="25">
        <v>14.093</v>
      </c>
      <c r="AO2" s="25">
        <v>6.1669999999999998</v>
      </c>
      <c r="AP2" s="25">
        <v>2.4</v>
      </c>
      <c r="AQ2" s="25">
        <v>2.2709999999999999</v>
      </c>
      <c r="AR2" s="25">
        <v>6.1669999999999998</v>
      </c>
      <c r="AS2" s="25">
        <v>6.1669999999999998</v>
      </c>
      <c r="AT2" s="25">
        <v>6.1669999999999998</v>
      </c>
      <c r="AU2" s="25">
        <v>4.6479999999999997</v>
      </c>
      <c r="AV2" s="25">
        <v>6.1669999999999998</v>
      </c>
      <c r="AW2" s="25">
        <v>8.3130000000000006</v>
      </c>
      <c r="AX2" s="25">
        <v>11.74</v>
      </c>
      <c r="AY2" s="25">
        <v>6.1669999999999998</v>
      </c>
      <c r="AZ2" s="25">
        <v>8.0660000000000007</v>
      </c>
      <c r="BA2" s="25">
        <v>6.1669999999999998</v>
      </c>
      <c r="BB2" s="25">
        <v>7.4329999999999998</v>
      </c>
      <c r="BC2" s="25">
        <v>6.1669999999999998</v>
      </c>
      <c r="BD2" s="25">
        <v>7.49</v>
      </c>
      <c r="BE2" s="25">
        <v>6.1669999999999998</v>
      </c>
      <c r="BF2" s="25">
        <v>31.382000000000001</v>
      </c>
      <c r="BG2" s="25">
        <v>6.1669999999999998</v>
      </c>
      <c r="BH2" s="25">
        <v>6.1669999999999998</v>
      </c>
      <c r="BI2" s="25">
        <v>19.803999999999998</v>
      </c>
      <c r="BJ2" s="25">
        <v>6.1669999999999998</v>
      </c>
      <c r="BK2" s="25">
        <v>6.1669999999999998</v>
      </c>
      <c r="BL2" s="25">
        <v>6.1669999999999998</v>
      </c>
      <c r="BM2" s="25">
        <v>6.1669999999999998</v>
      </c>
      <c r="BN2" s="25">
        <v>6.1669999999999998</v>
      </c>
      <c r="BO2" s="25">
        <v>6.1669999999999998</v>
      </c>
      <c r="BP2" s="25">
        <v>10.087</v>
      </c>
      <c r="BQ2" s="25">
        <v>4.7939999999999996</v>
      </c>
      <c r="BR2" s="25">
        <v>6.1669999999999998</v>
      </c>
      <c r="BS2" s="25">
        <v>6.1669999999999998</v>
      </c>
      <c r="BT2" s="25">
        <v>6.1669999999999998</v>
      </c>
      <c r="BU2" s="25">
        <v>9.3339999999999996</v>
      </c>
      <c r="BV2" s="25">
        <v>6.1669999999999998</v>
      </c>
      <c r="BW2" s="25">
        <v>6.1669999999999998</v>
      </c>
      <c r="BX2" s="25">
        <v>12.436999999999999</v>
      </c>
      <c r="BY2" s="25">
        <v>5.8310000000000004</v>
      </c>
      <c r="BZ2" s="25">
        <v>4.4930000000000003</v>
      </c>
      <c r="CA2" s="25">
        <v>6.1669999999999998</v>
      </c>
      <c r="CB2" s="25">
        <v>6.1669999999999998</v>
      </c>
      <c r="CC2" s="25">
        <v>3.109</v>
      </c>
      <c r="CD2" s="25">
        <v>4.0140000000000002</v>
      </c>
      <c r="CE2" s="25">
        <v>6.1669999999999998</v>
      </c>
      <c r="CF2" s="25">
        <v>11.587999999999999</v>
      </c>
      <c r="CG2" s="25">
        <v>19.648</v>
      </c>
      <c r="CH2" s="25">
        <v>6.1669999999999998</v>
      </c>
      <c r="CI2" s="25">
        <v>6.1669999999999998</v>
      </c>
      <c r="CJ2" s="25">
        <v>6.1669999999999998</v>
      </c>
      <c r="CK2" s="25">
        <v>6.1669999999999998</v>
      </c>
      <c r="CL2" s="25">
        <v>6.1669999999999998</v>
      </c>
      <c r="CM2" s="25">
        <v>6.1669999999999998</v>
      </c>
      <c r="CN2" s="25">
        <v>6.1669999999999998</v>
      </c>
      <c r="CO2" s="25">
        <v>6.1669999999999998</v>
      </c>
      <c r="CP2" s="25">
        <v>6.1669999999999998</v>
      </c>
      <c r="CQ2" s="25">
        <v>6.1669999999999998</v>
      </c>
      <c r="CR2" s="25">
        <v>6.1669999999999998</v>
      </c>
      <c r="CS2" s="25">
        <v>38.503999999999998</v>
      </c>
      <c r="CT2" s="25">
        <v>6.1669999999999998</v>
      </c>
      <c r="CU2" s="25">
        <v>6.1669999999999998</v>
      </c>
      <c r="CV2" s="25">
        <v>11.016</v>
      </c>
      <c r="CW2" s="25">
        <v>6.1669999999999998</v>
      </c>
      <c r="CX2" s="25">
        <v>6.1669999999999998</v>
      </c>
      <c r="CY2" s="25">
        <v>6.1669999999999998</v>
      </c>
      <c r="CZ2" s="25">
        <v>8.6150000000000002</v>
      </c>
      <c r="DA2" s="25">
        <v>6.5010000000000003</v>
      </c>
      <c r="DB2" s="25">
        <v>7.617</v>
      </c>
      <c r="DC2" s="25">
        <v>6.95</v>
      </c>
      <c r="DD2" s="25">
        <v>3.4329999999999998</v>
      </c>
      <c r="DE2" s="25">
        <v>24.443999999999999</v>
      </c>
      <c r="DF2" s="25">
        <v>6.1669999999999998</v>
      </c>
      <c r="DG2" s="25">
        <v>2.0099999999999998</v>
      </c>
      <c r="DH2" s="25">
        <v>29.303000000000001</v>
      </c>
      <c r="DI2" s="25">
        <v>6.1669999999999998</v>
      </c>
      <c r="DJ2" s="25">
        <v>6.1669999999999998</v>
      </c>
      <c r="DK2" s="25">
        <v>10.048999999999999</v>
      </c>
      <c r="DL2" s="25">
        <v>6.1669999999999998</v>
      </c>
      <c r="DM2" s="25">
        <v>24.443999999999999</v>
      </c>
      <c r="DN2" s="25">
        <v>6.1669999999999998</v>
      </c>
      <c r="DO2" s="25">
        <v>6.1669999999999998</v>
      </c>
      <c r="DP2" s="25">
        <v>6.1669999999999998</v>
      </c>
      <c r="DQ2" s="25">
        <v>6.1669999999999998</v>
      </c>
      <c r="DR2" s="25">
        <v>6.1669999999999998</v>
      </c>
      <c r="DS2" s="25">
        <v>6.1669999999999998</v>
      </c>
      <c r="DT2" s="25">
        <v>6.1669999999999998</v>
      </c>
      <c r="DU2" s="25">
        <v>3.4159999999999999</v>
      </c>
      <c r="DV2" s="25">
        <v>6.1669999999999998</v>
      </c>
      <c r="DW2" s="25">
        <v>16.314</v>
      </c>
      <c r="DX2" s="25">
        <v>18.876999999999999</v>
      </c>
      <c r="DY2" s="25">
        <v>6.1669999999999998</v>
      </c>
      <c r="DZ2" s="25">
        <v>19.141999999999999</v>
      </c>
      <c r="EA2" s="25">
        <v>6.1669999999999998</v>
      </c>
      <c r="EB2" s="25">
        <v>1.9810000000000001</v>
      </c>
      <c r="EC2" s="25">
        <v>6.1669999999999998</v>
      </c>
      <c r="ED2" s="25">
        <v>6.1669999999999998</v>
      </c>
      <c r="EE2" s="25">
        <v>6.1669999999999998</v>
      </c>
      <c r="EF2" s="25">
        <v>6.1669999999999998</v>
      </c>
      <c r="EG2" s="25">
        <v>1.9710000000000001</v>
      </c>
      <c r="EH2" s="25">
        <v>19.282</v>
      </c>
      <c r="EI2" s="25">
        <v>6.1669999999999998</v>
      </c>
      <c r="EJ2" s="25">
        <v>9.8949999999999996</v>
      </c>
      <c r="EK2" s="25">
        <v>6.1669999999999998</v>
      </c>
      <c r="EL2" s="25">
        <v>6.1669999999999998</v>
      </c>
      <c r="EM2" s="25">
        <v>9.3160000000000007</v>
      </c>
      <c r="EN2" s="25">
        <v>6.1669999999999998</v>
      </c>
      <c r="EO2" s="25">
        <v>8.6289999999999996</v>
      </c>
      <c r="EP2" s="25">
        <v>6.1669999999999998</v>
      </c>
      <c r="EQ2" s="25">
        <v>6.1669999999999998</v>
      </c>
      <c r="ER2" s="25">
        <v>37.417000000000002</v>
      </c>
      <c r="ES2" s="25">
        <v>18.332999999999998</v>
      </c>
      <c r="ET2" s="25">
        <v>6.1669999999999998</v>
      </c>
      <c r="EU2" s="25">
        <v>6.1669999999999998</v>
      </c>
      <c r="EV2" s="25">
        <v>6.1669999999999998</v>
      </c>
      <c r="EW2" s="25"/>
    </row>
    <row r="3" spans="1:153" ht="17.25" customHeight="1" x14ac:dyDescent="0.25">
      <c r="A3" s="25" t="s">
        <v>100</v>
      </c>
      <c r="B3" s="25">
        <v>1.2509999999999999</v>
      </c>
      <c r="C3" s="25">
        <v>0</v>
      </c>
      <c r="D3" s="25">
        <v>2.0249999999999999</v>
      </c>
      <c r="E3" s="25">
        <v>3.2069999999999999</v>
      </c>
      <c r="F3" s="25">
        <v>3.9009999999999998</v>
      </c>
      <c r="G3" s="25">
        <v>4.9329999999999998</v>
      </c>
      <c r="H3" s="25">
        <v>5.6870000000000003</v>
      </c>
      <c r="I3" s="25">
        <v>6.9589999999999996</v>
      </c>
      <c r="J3" s="25">
        <v>7.2270000000000003</v>
      </c>
      <c r="K3" s="25">
        <v>8.2050000000000001</v>
      </c>
      <c r="L3" s="25">
        <v>17.068000000000001</v>
      </c>
      <c r="M3" s="25">
        <v>8.1940000000000008</v>
      </c>
      <c r="N3" s="25">
        <v>7.125</v>
      </c>
      <c r="O3" s="25">
        <v>5.3929999999999998</v>
      </c>
      <c r="P3" s="25">
        <v>6.4329999999999998</v>
      </c>
      <c r="Q3" s="25">
        <v>6.375</v>
      </c>
      <c r="R3" s="25">
        <v>10.109</v>
      </c>
      <c r="S3" s="25">
        <v>9.3559999999999999</v>
      </c>
      <c r="T3" s="25">
        <v>9.8620000000000001</v>
      </c>
      <c r="U3" s="25">
        <v>11.766999999999999</v>
      </c>
      <c r="V3" s="25">
        <v>11.35</v>
      </c>
      <c r="W3" s="25">
        <v>10.622999999999999</v>
      </c>
      <c r="X3" s="25">
        <v>19.041</v>
      </c>
      <c r="Y3" s="25">
        <v>5.2649999999999997</v>
      </c>
      <c r="Z3" s="25">
        <v>6.74</v>
      </c>
      <c r="AA3" s="25">
        <v>8.1340000000000003</v>
      </c>
      <c r="AB3" s="25">
        <v>9.8689999999999998</v>
      </c>
      <c r="AC3" s="25">
        <v>19.5</v>
      </c>
      <c r="AD3" s="25">
        <v>18.795000000000002</v>
      </c>
      <c r="AE3" s="25">
        <v>3.008</v>
      </c>
      <c r="AF3" s="25">
        <v>15.375</v>
      </c>
      <c r="AG3" s="25">
        <v>15.664</v>
      </c>
      <c r="AH3" s="25">
        <v>0</v>
      </c>
      <c r="AI3" s="25">
        <v>5.3929999999999998</v>
      </c>
      <c r="AJ3" s="25">
        <v>5.6870000000000003</v>
      </c>
      <c r="AK3" s="25">
        <v>6.9589999999999996</v>
      </c>
      <c r="AL3" s="25">
        <v>6.375</v>
      </c>
      <c r="AM3" s="25">
        <v>15.467000000000001</v>
      </c>
      <c r="AN3" s="25">
        <v>15.343999999999999</v>
      </c>
      <c r="AO3" s="25">
        <v>5.3929999999999998</v>
      </c>
      <c r="AP3" s="25">
        <v>2.6360000000000001</v>
      </c>
      <c r="AQ3" s="25">
        <v>1.704</v>
      </c>
      <c r="AR3" s="25">
        <v>5.3929999999999998</v>
      </c>
      <c r="AS3" s="25">
        <v>5.3929999999999998</v>
      </c>
      <c r="AT3" s="25">
        <v>5.3929999999999998</v>
      </c>
      <c r="AU3" s="25">
        <v>3.8820000000000001</v>
      </c>
      <c r="AV3" s="25">
        <v>5.3929999999999998</v>
      </c>
      <c r="AW3" s="25">
        <v>6.2460000000000004</v>
      </c>
      <c r="AX3" s="25">
        <v>10.974</v>
      </c>
      <c r="AY3" s="25">
        <v>5.3929999999999998</v>
      </c>
      <c r="AZ3" s="25">
        <v>7.2919999999999998</v>
      </c>
      <c r="BA3" s="25">
        <v>5.3929999999999998</v>
      </c>
      <c r="BB3" s="25">
        <v>5.9210000000000003</v>
      </c>
      <c r="BC3" s="25">
        <v>5.3929999999999998</v>
      </c>
      <c r="BD3" s="25">
        <v>6.7160000000000002</v>
      </c>
      <c r="BE3" s="25">
        <v>5.3929999999999998</v>
      </c>
      <c r="BF3" s="25">
        <v>32.633000000000003</v>
      </c>
      <c r="BG3" s="25">
        <v>5.3929999999999998</v>
      </c>
      <c r="BH3" s="25">
        <v>5.3929999999999998</v>
      </c>
      <c r="BI3" s="25">
        <v>21.055</v>
      </c>
      <c r="BJ3" s="25">
        <v>5.3929999999999998</v>
      </c>
      <c r="BK3" s="25">
        <v>5.3929999999999998</v>
      </c>
      <c r="BL3" s="25">
        <v>5.3929999999999998</v>
      </c>
      <c r="BM3" s="25">
        <v>5.3929999999999998</v>
      </c>
      <c r="BN3" s="25">
        <v>5.3929999999999998</v>
      </c>
      <c r="BO3" s="25">
        <v>5.3929999999999998</v>
      </c>
      <c r="BP3" s="25">
        <v>11.337999999999999</v>
      </c>
      <c r="BQ3" s="25">
        <v>4.0419999999999998</v>
      </c>
      <c r="BR3" s="25">
        <v>5.3929999999999998</v>
      </c>
      <c r="BS3" s="25">
        <v>5.3929999999999998</v>
      </c>
      <c r="BT3" s="25">
        <v>5.3929999999999998</v>
      </c>
      <c r="BU3" s="25">
        <v>7.5730000000000004</v>
      </c>
      <c r="BV3" s="25">
        <v>5.3929999999999998</v>
      </c>
      <c r="BW3" s="25">
        <v>5.3929999999999998</v>
      </c>
      <c r="BX3" s="25">
        <v>13.688000000000001</v>
      </c>
      <c r="BY3" s="25">
        <v>5.0570000000000004</v>
      </c>
      <c r="BZ3" s="25">
        <v>3.9260000000000002</v>
      </c>
      <c r="CA3" s="25">
        <v>5.3929999999999998</v>
      </c>
      <c r="CB3" s="25">
        <v>5.3929999999999998</v>
      </c>
      <c r="CC3" s="25">
        <v>4.3600000000000003</v>
      </c>
      <c r="CD3" s="25">
        <v>5.2649999999999997</v>
      </c>
      <c r="CE3" s="25">
        <v>5.3929999999999998</v>
      </c>
      <c r="CF3" s="25">
        <v>12.839</v>
      </c>
      <c r="CG3" s="25">
        <v>20.899000000000001</v>
      </c>
      <c r="CH3" s="25">
        <v>5.3929999999999998</v>
      </c>
      <c r="CI3" s="25">
        <v>5.3929999999999998</v>
      </c>
      <c r="CJ3" s="25">
        <v>5.3929999999999998</v>
      </c>
      <c r="CK3" s="25">
        <v>5.3929999999999998</v>
      </c>
      <c r="CL3" s="25">
        <v>5.3929999999999998</v>
      </c>
      <c r="CM3" s="25">
        <v>5.3929999999999998</v>
      </c>
      <c r="CN3" s="25">
        <v>5.3929999999999998</v>
      </c>
      <c r="CO3" s="25">
        <v>5.3929999999999998</v>
      </c>
      <c r="CP3" s="25">
        <v>5.3929999999999998</v>
      </c>
      <c r="CQ3" s="25">
        <v>5.3929999999999998</v>
      </c>
      <c r="CR3" s="25">
        <v>5.3929999999999998</v>
      </c>
      <c r="CS3" s="25">
        <v>39.755000000000003</v>
      </c>
      <c r="CT3" s="25">
        <v>5.3929999999999998</v>
      </c>
      <c r="CU3" s="25">
        <v>5.3929999999999998</v>
      </c>
      <c r="CV3" s="25">
        <v>8.2669999999999995</v>
      </c>
      <c r="CW3" s="25">
        <v>5.3929999999999998</v>
      </c>
      <c r="CX3" s="25">
        <v>5.3929999999999998</v>
      </c>
      <c r="CY3" s="25">
        <v>5.3929999999999998</v>
      </c>
      <c r="CZ3" s="25">
        <v>6.8540000000000001</v>
      </c>
      <c r="DA3" s="25">
        <v>5.6029999999999998</v>
      </c>
      <c r="DB3" s="25">
        <v>8.8680000000000003</v>
      </c>
      <c r="DC3" s="25">
        <v>8.2010000000000005</v>
      </c>
      <c r="DD3" s="25">
        <v>2.6579999999999999</v>
      </c>
      <c r="DE3" s="25">
        <v>25.695</v>
      </c>
      <c r="DF3" s="25">
        <v>5.3929999999999998</v>
      </c>
      <c r="DG3" s="25">
        <v>3.2610000000000001</v>
      </c>
      <c r="DH3" s="25">
        <v>30.553999999999998</v>
      </c>
      <c r="DI3" s="25">
        <v>5.3929999999999998</v>
      </c>
      <c r="DJ3" s="25">
        <v>5.3929999999999998</v>
      </c>
      <c r="DK3" s="25">
        <v>7.0460000000000003</v>
      </c>
      <c r="DL3" s="25">
        <v>5.3929999999999998</v>
      </c>
      <c r="DM3" s="25">
        <v>25.695</v>
      </c>
      <c r="DN3" s="25">
        <v>5.3929999999999998</v>
      </c>
      <c r="DO3" s="25">
        <v>5.3929999999999998</v>
      </c>
      <c r="DP3" s="25">
        <v>5.3929999999999998</v>
      </c>
      <c r="DQ3" s="25">
        <v>5.3929999999999998</v>
      </c>
      <c r="DR3" s="25">
        <v>5.3929999999999998</v>
      </c>
      <c r="DS3" s="25">
        <v>5.3929999999999998</v>
      </c>
      <c r="DT3" s="25">
        <v>5.3929999999999998</v>
      </c>
      <c r="DU3" s="25">
        <v>2.5190000000000001</v>
      </c>
      <c r="DV3" s="25">
        <v>5.3929999999999998</v>
      </c>
      <c r="DW3" s="25">
        <v>17.565000000000001</v>
      </c>
      <c r="DX3" s="25">
        <v>20.128</v>
      </c>
      <c r="DY3" s="25">
        <v>5.3929999999999998</v>
      </c>
      <c r="DZ3" s="25">
        <v>20.393000000000001</v>
      </c>
      <c r="EA3" s="25">
        <v>5.3929999999999998</v>
      </c>
      <c r="EB3" s="25">
        <v>3.2320000000000002</v>
      </c>
      <c r="EC3" s="25">
        <v>5.3929999999999998</v>
      </c>
      <c r="ED3" s="25">
        <v>5.3929999999999998</v>
      </c>
      <c r="EE3" s="25">
        <v>5.3929999999999998</v>
      </c>
      <c r="EF3" s="25">
        <v>5.3929999999999998</v>
      </c>
      <c r="EG3" s="25">
        <v>2.74</v>
      </c>
      <c r="EH3" s="25">
        <v>20.533000000000001</v>
      </c>
      <c r="EI3" s="25">
        <v>5.3929999999999998</v>
      </c>
      <c r="EJ3" s="25">
        <v>6.375</v>
      </c>
      <c r="EK3" s="25">
        <v>5.3929999999999998</v>
      </c>
      <c r="EL3" s="25">
        <v>5.3929999999999998</v>
      </c>
      <c r="EM3" s="25">
        <v>10.567</v>
      </c>
      <c r="EN3" s="25">
        <v>5.3929999999999998</v>
      </c>
      <c r="EO3" s="25">
        <v>9.8800000000000008</v>
      </c>
      <c r="EP3" s="25">
        <v>5.3929999999999998</v>
      </c>
      <c r="EQ3" s="25">
        <v>5.3929999999999998</v>
      </c>
      <c r="ER3" s="25">
        <v>38.667999999999999</v>
      </c>
      <c r="ES3" s="25">
        <v>19.584</v>
      </c>
      <c r="ET3" s="25">
        <v>5.3929999999999998</v>
      </c>
      <c r="EU3" s="25">
        <v>5.3929999999999998</v>
      </c>
      <c r="EV3" s="25">
        <v>5.3929999999999998</v>
      </c>
      <c r="EW3" s="25"/>
    </row>
    <row r="4" spans="1:153" ht="17.25" customHeight="1" x14ac:dyDescent="0.25">
      <c r="A4" s="25" t="s">
        <v>124</v>
      </c>
      <c r="B4" s="25">
        <v>2.5089999999999999</v>
      </c>
      <c r="C4" s="25">
        <v>1.258</v>
      </c>
      <c r="D4" s="25">
        <v>0</v>
      </c>
      <c r="E4" s="25">
        <v>1.1819999999999999</v>
      </c>
      <c r="F4" s="25">
        <v>1.8759999999999999</v>
      </c>
      <c r="G4" s="25">
        <v>2.9079999999999999</v>
      </c>
      <c r="H4" s="25">
        <v>3.6619999999999999</v>
      </c>
      <c r="I4" s="25">
        <v>4.9340000000000002</v>
      </c>
      <c r="J4" s="25">
        <v>5.202</v>
      </c>
      <c r="K4" s="25">
        <v>6.18</v>
      </c>
      <c r="L4" s="25">
        <v>7.1360000000000001</v>
      </c>
      <c r="M4" s="25">
        <v>6.0060000000000002</v>
      </c>
      <c r="N4" s="25">
        <v>5.0999999999999996</v>
      </c>
      <c r="O4" s="25">
        <v>3.3679999999999999</v>
      </c>
      <c r="P4" s="25">
        <v>3.7930000000000001</v>
      </c>
      <c r="Q4" s="25">
        <v>4.05</v>
      </c>
      <c r="R4" s="25">
        <v>5.2190000000000003</v>
      </c>
      <c r="S4" s="25">
        <v>6.0750000000000002</v>
      </c>
      <c r="T4" s="25">
        <v>7.0259999999999998</v>
      </c>
      <c r="U4" s="25">
        <v>8.5079999999999991</v>
      </c>
      <c r="V4" s="25">
        <v>8.5139999999999993</v>
      </c>
      <c r="W4" s="25">
        <v>7.7869999999999999</v>
      </c>
      <c r="X4" s="25">
        <v>13.19</v>
      </c>
      <c r="Y4" s="25">
        <v>8.08</v>
      </c>
      <c r="Z4" s="25">
        <v>9.5559999999999992</v>
      </c>
      <c r="AA4" s="25">
        <v>9.8379999999999992</v>
      </c>
      <c r="AB4" s="25">
        <v>11.573</v>
      </c>
      <c r="AC4" s="25">
        <v>20.69</v>
      </c>
      <c r="AD4" s="25">
        <v>12.944000000000001</v>
      </c>
      <c r="AE4" s="25">
        <v>4.266</v>
      </c>
      <c r="AF4" s="25">
        <v>9.5069999999999997</v>
      </c>
      <c r="AG4" s="25">
        <v>8.6</v>
      </c>
      <c r="AH4" s="25">
        <v>1.258</v>
      </c>
      <c r="AI4" s="25">
        <v>3.3679999999999999</v>
      </c>
      <c r="AJ4" s="25">
        <v>3.6619999999999999</v>
      </c>
      <c r="AK4" s="25">
        <v>4.9340000000000002</v>
      </c>
      <c r="AL4" s="25">
        <v>4.05</v>
      </c>
      <c r="AM4" s="25">
        <v>8.3379999999999992</v>
      </c>
      <c r="AN4" s="25">
        <v>11.872</v>
      </c>
      <c r="AO4" s="25">
        <v>3.3679999999999999</v>
      </c>
      <c r="AP4" s="25">
        <v>3.8940000000000001</v>
      </c>
      <c r="AQ4" s="25">
        <v>1.8180000000000001</v>
      </c>
      <c r="AR4" s="25">
        <v>3.3679999999999999</v>
      </c>
      <c r="AS4" s="25">
        <v>3.3679999999999999</v>
      </c>
      <c r="AT4" s="25">
        <v>3.3679999999999999</v>
      </c>
      <c r="AU4" s="25">
        <v>1.9730000000000001</v>
      </c>
      <c r="AV4" s="25">
        <v>3.3679999999999999</v>
      </c>
      <c r="AW4" s="25">
        <v>4.3230000000000004</v>
      </c>
      <c r="AX4" s="25">
        <v>8.7859999999999996</v>
      </c>
      <c r="AY4" s="25">
        <v>3.3679999999999999</v>
      </c>
      <c r="AZ4" s="25">
        <v>5.2670000000000003</v>
      </c>
      <c r="BA4" s="25">
        <v>3.3679999999999999</v>
      </c>
      <c r="BB4" s="25">
        <v>3.8959999999999999</v>
      </c>
      <c r="BC4" s="25">
        <v>3.3679999999999999</v>
      </c>
      <c r="BD4" s="25">
        <v>4.6909999999999998</v>
      </c>
      <c r="BE4" s="25">
        <v>3.3679999999999999</v>
      </c>
      <c r="BF4" s="25">
        <v>33.823</v>
      </c>
      <c r="BG4" s="25">
        <v>3.3679999999999999</v>
      </c>
      <c r="BH4" s="25">
        <v>3.3679999999999999</v>
      </c>
      <c r="BI4" s="25">
        <v>22.251999999999999</v>
      </c>
      <c r="BJ4" s="25">
        <v>3.3679999999999999</v>
      </c>
      <c r="BK4" s="25">
        <v>3.3679999999999999</v>
      </c>
      <c r="BL4" s="25">
        <v>3.3679999999999999</v>
      </c>
      <c r="BM4" s="25">
        <v>3.3679999999999999</v>
      </c>
      <c r="BN4" s="25">
        <v>3.3679999999999999</v>
      </c>
      <c r="BO4" s="25">
        <v>3.3679999999999999</v>
      </c>
      <c r="BP4" s="25">
        <v>8.08</v>
      </c>
      <c r="BQ4" s="25">
        <v>2.0169999999999999</v>
      </c>
      <c r="BR4" s="25">
        <v>3.3679999999999999</v>
      </c>
      <c r="BS4" s="25">
        <v>3.3679999999999999</v>
      </c>
      <c r="BT4" s="25">
        <v>3.3679999999999999</v>
      </c>
      <c r="BU4" s="25">
        <v>6.9749999999999996</v>
      </c>
      <c r="BV4" s="25">
        <v>3.3679999999999999</v>
      </c>
      <c r="BW4" s="25">
        <v>3.3679999999999999</v>
      </c>
      <c r="BX4" s="25">
        <v>7.8049999999999997</v>
      </c>
      <c r="BY4" s="25">
        <v>3.032</v>
      </c>
      <c r="BZ4" s="25">
        <v>1.782</v>
      </c>
      <c r="CA4" s="25">
        <v>3.3679999999999999</v>
      </c>
      <c r="CB4" s="25">
        <v>3.3679999999999999</v>
      </c>
      <c r="CC4" s="25">
        <v>6.2359999999999998</v>
      </c>
      <c r="CD4" s="25">
        <v>8.08</v>
      </c>
      <c r="CE4" s="25">
        <v>3.3679999999999999</v>
      </c>
      <c r="CF4" s="25">
        <v>14.029</v>
      </c>
      <c r="CG4" s="25">
        <v>22.088999999999999</v>
      </c>
      <c r="CH4" s="25">
        <v>3.3679999999999999</v>
      </c>
      <c r="CI4" s="25">
        <v>3.3679999999999999</v>
      </c>
      <c r="CJ4" s="25">
        <v>3.3679999999999999</v>
      </c>
      <c r="CK4" s="25">
        <v>3.3679999999999999</v>
      </c>
      <c r="CL4" s="25">
        <v>3.3679999999999999</v>
      </c>
      <c r="CM4" s="25">
        <v>3.3679999999999999</v>
      </c>
      <c r="CN4" s="25">
        <v>3.3679999999999999</v>
      </c>
      <c r="CO4" s="25">
        <v>3.3679999999999999</v>
      </c>
      <c r="CP4" s="25">
        <v>3.3679999999999999</v>
      </c>
      <c r="CQ4" s="25">
        <v>3.3679999999999999</v>
      </c>
      <c r="CR4" s="25">
        <v>3.3679999999999999</v>
      </c>
      <c r="CS4" s="25">
        <v>40.951000000000001</v>
      </c>
      <c r="CT4" s="25">
        <v>3.3679999999999999</v>
      </c>
      <c r="CU4" s="25">
        <v>3.3679999999999999</v>
      </c>
      <c r="CV4" s="25">
        <v>6.4119999999999999</v>
      </c>
      <c r="CW4" s="25">
        <v>3.3679999999999999</v>
      </c>
      <c r="CX4" s="25">
        <v>3.3679999999999999</v>
      </c>
      <c r="CY4" s="25">
        <v>3.3679999999999999</v>
      </c>
      <c r="CZ4" s="25">
        <v>6.2560000000000002</v>
      </c>
      <c r="DA4" s="25">
        <v>3.278</v>
      </c>
      <c r="DB4" s="25">
        <v>11.683999999999999</v>
      </c>
      <c r="DC4" s="25">
        <v>11.016999999999999</v>
      </c>
      <c r="DD4" s="25">
        <v>0.622</v>
      </c>
      <c r="DE4" s="25">
        <v>20.018999999999998</v>
      </c>
      <c r="DF4" s="25">
        <v>3.3679999999999999</v>
      </c>
      <c r="DG4" s="25">
        <v>4.4630000000000001</v>
      </c>
      <c r="DH4" s="25">
        <v>31.744</v>
      </c>
      <c r="DI4" s="25">
        <v>3.3679999999999999</v>
      </c>
      <c r="DJ4" s="25">
        <v>3.3679999999999999</v>
      </c>
      <c r="DK4" s="25">
        <v>5.2770000000000001</v>
      </c>
      <c r="DL4" s="25">
        <v>3.3679999999999999</v>
      </c>
      <c r="DM4" s="25">
        <v>20.018999999999998</v>
      </c>
      <c r="DN4" s="25">
        <v>3.3679999999999999</v>
      </c>
      <c r="DO4" s="25">
        <v>3.3679999999999999</v>
      </c>
      <c r="DP4" s="25">
        <v>3.3679999999999999</v>
      </c>
      <c r="DQ4" s="25">
        <v>3.3679999999999999</v>
      </c>
      <c r="DR4" s="25">
        <v>3.3679999999999999</v>
      </c>
      <c r="DS4" s="25">
        <v>3.3679999999999999</v>
      </c>
      <c r="DT4" s="25">
        <v>3.3679999999999999</v>
      </c>
      <c r="DU4" s="25">
        <v>2.5569999999999999</v>
      </c>
      <c r="DV4" s="25">
        <v>3.3679999999999999</v>
      </c>
      <c r="DW4" s="25">
        <v>11.714</v>
      </c>
      <c r="DX4" s="25">
        <v>17.305</v>
      </c>
      <c r="DY4" s="25">
        <v>3.3679999999999999</v>
      </c>
      <c r="DZ4" s="25">
        <v>17.57</v>
      </c>
      <c r="EA4" s="25">
        <v>3.3679999999999999</v>
      </c>
      <c r="EB4" s="25">
        <v>4.4340000000000002</v>
      </c>
      <c r="EC4" s="25">
        <v>3.3679999999999999</v>
      </c>
      <c r="ED4" s="25">
        <v>3.3679999999999999</v>
      </c>
      <c r="EE4" s="25">
        <v>3.3679999999999999</v>
      </c>
      <c r="EF4" s="25">
        <v>3.3679999999999999</v>
      </c>
      <c r="EG4" s="25">
        <v>3.6909999999999998</v>
      </c>
      <c r="EH4" s="25">
        <v>10.563000000000001</v>
      </c>
      <c r="EI4" s="25">
        <v>3.3679999999999999</v>
      </c>
      <c r="EJ4" s="25">
        <v>4.05</v>
      </c>
      <c r="EK4" s="25">
        <v>3.3679999999999999</v>
      </c>
      <c r="EL4" s="25">
        <v>3.3679999999999999</v>
      </c>
      <c r="EM4" s="25">
        <v>7.7309999999999999</v>
      </c>
      <c r="EN4" s="25">
        <v>3.3679999999999999</v>
      </c>
      <c r="EO4" s="25">
        <v>6.6219999999999999</v>
      </c>
      <c r="EP4" s="25">
        <v>3.3679999999999999</v>
      </c>
      <c r="EQ4" s="25">
        <v>3.3679999999999999</v>
      </c>
      <c r="ER4" s="25">
        <v>39.857999999999997</v>
      </c>
      <c r="ES4" s="25">
        <v>13.733000000000001</v>
      </c>
      <c r="ET4" s="25">
        <v>3.3679999999999999</v>
      </c>
      <c r="EU4" s="25">
        <v>3.3679999999999999</v>
      </c>
      <c r="EV4" s="25">
        <v>3.3679999999999999</v>
      </c>
      <c r="EW4" s="25"/>
    </row>
    <row r="5" spans="1:153" ht="17.25" customHeight="1" x14ac:dyDescent="0.25">
      <c r="A5" s="25" t="s">
        <v>125</v>
      </c>
      <c r="B5" s="25">
        <v>3.25</v>
      </c>
      <c r="C5" s="25">
        <v>1.9990000000000001</v>
      </c>
      <c r="D5" s="25">
        <v>1.387</v>
      </c>
      <c r="E5" s="25">
        <v>0</v>
      </c>
      <c r="F5" s="25">
        <v>1.01</v>
      </c>
      <c r="G5" s="25">
        <v>2.0419999999999998</v>
      </c>
      <c r="H5" s="25">
        <v>2.7959999999999998</v>
      </c>
      <c r="I5" s="25">
        <v>4.0679999999999996</v>
      </c>
      <c r="J5" s="25">
        <v>4.3360000000000003</v>
      </c>
      <c r="K5" s="25">
        <v>5.3140000000000001</v>
      </c>
      <c r="L5" s="25">
        <v>6.27</v>
      </c>
      <c r="M5" s="25">
        <v>5.33</v>
      </c>
      <c r="N5" s="25">
        <v>4.234</v>
      </c>
      <c r="O5" s="25">
        <v>2.5019999999999998</v>
      </c>
      <c r="P5" s="25">
        <v>2.927</v>
      </c>
      <c r="Q5" s="25">
        <v>3.835</v>
      </c>
      <c r="R5" s="25">
        <v>4.8419999999999996</v>
      </c>
      <c r="S5" s="25">
        <v>5.7770000000000001</v>
      </c>
      <c r="T5" s="25">
        <v>6.16</v>
      </c>
      <c r="U5" s="25">
        <v>8.2100000000000009</v>
      </c>
      <c r="V5" s="25">
        <v>7.399</v>
      </c>
      <c r="W5" s="25">
        <v>6.9210000000000003</v>
      </c>
      <c r="X5" s="25">
        <v>12.324</v>
      </c>
      <c r="Y5" s="25">
        <v>7.2640000000000002</v>
      </c>
      <c r="Z5" s="25">
        <v>8.7390000000000008</v>
      </c>
      <c r="AA5" s="25">
        <v>10.45</v>
      </c>
      <c r="AB5" s="25">
        <v>12.185</v>
      </c>
      <c r="AC5" s="25">
        <v>21.302</v>
      </c>
      <c r="AD5" s="25">
        <v>12.077999999999999</v>
      </c>
      <c r="AE5" s="25">
        <v>5.0069999999999997</v>
      </c>
      <c r="AF5" s="25">
        <v>8.641</v>
      </c>
      <c r="AG5" s="25">
        <v>7.734</v>
      </c>
      <c r="AH5" s="25">
        <v>1.9990000000000001</v>
      </c>
      <c r="AI5" s="25">
        <v>2.5019999999999998</v>
      </c>
      <c r="AJ5" s="25">
        <v>2.7959999999999998</v>
      </c>
      <c r="AK5" s="25">
        <v>4.0679999999999996</v>
      </c>
      <c r="AL5" s="25">
        <v>3.835</v>
      </c>
      <c r="AM5" s="25">
        <v>7.4720000000000004</v>
      </c>
      <c r="AN5" s="25">
        <v>11.657</v>
      </c>
      <c r="AO5" s="25">
        <v>2.5019999999999998</v>
      </c>
      <c r="AP5" s="25">
        <v>4.6349999999999998</v>
      </c>
      <c r="AQ5" s="25">
        <v>2.4809999999999999</v>
      </c>
      <c r="AR5" s="25">
        <v>2.5019999999999998</v>
      </c>
      <c r="AS5" s="25">
        <v>2.5019999999999998</v>
      </c>
      <c r="AT5" s="25">
        <v>2.5019999999999998</v>
      </c>
      <c r="AU5" s="25">
        <v>2.758</v>
      </c>
      <c r="AV5" s="25">
        <v>2.5019999999999998</v>
      </c>
      <c r="AW5" s="25">
        <v>3.738</v>
      </c>
      <c r="AX5" s="25">
        <v>8.0139999999999993</v>
      </c>
      <c r="AY5" s="25">
        <v>2.5019999999999998</v>
      </c>
      <c r="AZ5" s="25">
        <v>4.4009999999999998</v>
      </c>
      <c r="BA5" s="25">
        <v>2.5019999999999998</v>
      </c>
      <c r="BB5" s="25">
        <v>3.03</v>
      </c>
      <c r="BC5" s="25">
        <v>2.5019999999999998</v>
      </c>
      <c r="BD5" s="25">
        <v>3.8250000000000002</v>
      </c>
      <c r="BE5" s="25">
        <v>2.5019999999999998</v>
      </c>
      <c r="BF5" s="25">
        <v>34.435000000000002</v>
      </c>
      <c r="BG5" s="25">
        <v>2.5019999999999998</v>
      </c>
      <c r="BH5" s="25">
        <v>2.5019999999999998</v>
      </c>
      <c r="BI5" s="25">
        <v>22.864000000000001</v>
      </c>
      <c r="BJ5" s="25">
        <v>2.5019999999999998</v>
      </c>
      <c r="BK5" s="25">
        <v>2.5019999999999998</v>
      </c>
      <c r="BL5" s="25">
        <v>2.5019999999999998</v>
      </c>
      <c r="BM5" s="25">
        <v>2.5019999999999998</v>
      </c>
      <c r="BN5" s="25">
        <v>2.5019999999999998</v>
      </c>
      <c r="BO5" s="25">
        <v>2.5019999999999998</v>
      </c>
      <c r="BP5" s="25">
        <v>7.782</v>
      </c>
      <c r="BQ5" s="25">
        <v>1.133</v>
      </c>
      <c r="BR5" s="25">
        <v>2.5019999999999998</v>
      </c>
      <c r="BS5" s="25">
        <v>2.5019999999999998</v>
      </c>
      <c r="BT5" s="25">
        <v>2.5019999999999998</v>
      </c>
      <c r="BU5" s="25">
        <v>7.1950000000000003</v>
      </c>
      <c r="BV5" s="25">
        <v>2.5019999999999998</v>
      </c>
      <c r="BW5" s="25">
        <v>2.5019999999999998</v>
      </c>
      <c r="BX5" s="25">
        <v>6.9390000000000001</v>
      </c>
      <c r="BY5" s="25">
        <v>2.1659999999999999</v>
      </c>
      <c r="BZ5" s="25">
        <v>0.89700000000000002</v>
      </c>
      <c r="CA5" s="25">
        <v>2.5019999999999998</v>
      </c>
      <c r="CB5" s="25">
        <v>2.5019999999999998</v>
      </c>
      <c r="CC5" s="25">
        <v>7.0739999999999998</v>
      </c>
      <c r="CD5" s="25">
        <v>7.2640000000000002</v>
      </c>
      <c r="CE5" s="25">
        <v>2.5019999999999998</v>
      </c>
      <c r="CF5" s="25">
        <v>14.641</v>
      </c>
      <c r="CG5" s="25">
        <v>22.701000000000001</v>
      </c>
      <c r="CH5" s="25">
        <v>2.5019999999999998</v>
      </c>
      <c r="CI5" s="25">
        <v>2.5019999999999998</v>
      </c>
      <c r="CJ5" s="25">
        <v>2.5019999999999998</v>
      </c>
      <c r="CK5" s="25">
        <v>2.5019999999999998</v>
      </c>
      <c r="CL5" s="25">
        <v>2.5019999999999998</v>
      </c>
      <c r="CM5" s="25">
        <v>2.5019999999999998</v>
      </c>
      <c r="CN5" s="25">
        <v>2.5019999999999998</v>
      </c>
      <c r="CO5" s="25">
        <v>2.5019999999999998</v>
      </c>
      <c r="CP5" s="25">
        <v>2.5019999999999998</v>
      </c>
      <c r="CQ5" s="25">
        <v>2.5019999999999998</v>
      </c>
      <c r="CR5" s="25">
        <v>2.5019999999999998</v>
      </c>
      <c r="CS5" s="25">
        <v>41.563000000000002</v>
      </c>
      <c r="CT5" s="25">
        <v>2.5019999999999998</v>
      </c>
      <c r="CU5" s="25">
        <v>2.5019999999999998</v>
      </c>
      <c r="CV5" s="25">
        <v>5.5460000000000003</v>
      </c>
      <c r="CW5" s="25">
        <v>2.5019999999999998</v>
      </c>
      <c r="CX5" s="25">
        <v>2.5019999999999998</v>
      </c>
      <c r="CY5" s="25">
        <v>2.5019999999999998</v>
      </c>
      <c r="CZ5" s="25">
        <v>6.476</v>
      </c>
      <c r="DA5" s="25">
        <v>3.0630000000000002</v>
      </c>
      <c r="DB5" s="25">
        <v>10.867000000000001</v>
      </c>
      <c r="DC5" s="25">
        <v>10.199999999999999</v>
      </c>
      <c r="DD5" s="25">
        <v>1.407</v>
      </c>
      <c r="DE5" s="25">
        <v>19.152999999999999</v>
      </c>
      <c r="DF5" s="25">
        <v>2.5019999999999998</v>
      </c>
      <c r="DG5" s="25">
        <v>5.0750000000000002</v>
      </c>
      <c r="DH5" s="25">
        <v>32.356000000000002</v>
      </c>
      <c r="DI5" s="25">
        <v>2.5019999999999998</v>
      </c>
      <c r="DJ5" s="25">
        <v>2.5019999999999998</v>
      </c>
      <c r="DK5" s="25">
        <v>4.5060000000000002</v>
      </c>
      <c r="DL5" s="25">
        <v>2.5019999999999998</v>
      </c>
      <c r="DM5" s="25">
        <v>19.152999999999999</v>
      </c>
      <c r="DN5" s="25">
        <v>2.5019999999999998</v>
      </c>
      <c r="DO5" s="25">
        <v>2.5019999999999998</v>
      </c>
      <c r="DP5" s="25">
        <v>2.5019999999999998</v>
      </c>
      <c r="DQ5" s="25">
        <v>2.5019999999999998</v>
      </c>
      <c r="DR5" s="25">
        <v>2.5019999999999998</v>
      </c>
      <c r="DS5" s="25">
        <v>2.5019999999999998</v>
      </c>
      <c r="DT5" s="25">
        <v>2.5019999999999998</v>
      </c>
      <c r="DU5" s="25">
        <v>3.169</v>
      </c>
      <c r="DV5" s="25">
        <v>2.5019999999999998</v>
      </c>
      <c r="DW5" s="25">
        <v>10.848000000000001</v>
      </c>
      <c r="DX5" s="25">
        <v>16.439</v>
      </c>
      <c r="DY5" s="25">
        <v>2.5019999999999998</v>
      </c>
      <c r="DZ5" s="25">
        <v>16.704000000000001</v>
      </c>
      <c r="EA5" s="25">
        <v>2.5019999999999998</v>
      </c>
      <c r="EB5" s="25">
        <v>5.0460000000000003</v>
      </c>
      <c r="EC5" s="25">
        <v>2.5019999999999998</v>
      </c>
      <c r="ED5" s="25">
        <v>2.5019999999999998</v>
      </c>
      <c r="EE5" s="25">
        <v>2.5019999999999998</v>
      </c>
      <c r="EF5" s="25">
        <v>2.5019999999999998</v>
      </c>
      <c r="EG5" s="25">
        <v>4.3029999999999999</v>
      </c>
      <c r="EH5" s="25">
        <v>9.6969999999999992</v>
      </c>
      <c r="EI5" s="25">
        <v>2.5019999999999998</v>
      </c>
      <c r="EJ5" s="25">
        <v>3.835</v>
      </c>
      <c r="EK5" s="25">
        <v>2.5019999999999998</v>
      </c>
      <c r="EL5" s="25">
        <v>2.5019999999999998</v>
      </c>
      <c r="EM5" s="25">
        <v>6.8650000000000002</v>
      </c>
      <c r="EN5" s="25">
        <v>2.5019999999999998</v>
      </c>
      <c r="EO5" s="25">
        <v>6.3239999999999998</v>
      </c>
      <c r="EP5" s="25">
        <v>2.5019999999999998</v>
      </c>
      <c r="EQ5" s="25">
        <v>2.5019999999999998</v>
      </c>
      <c r="ER5" s="25">
        <v>40.47</v>
      </c>
      <c r="ES5" s="25">
        <v>12.867000000000001</v>
      </c>
      <c r="ET5" s="25">
        <v>2.5019999999999998</v>
      </c>
      <c r="EU5" s="25">
        <v>2.5019999999999998</v>
      </c>
      <c r="EV5" s="25">
        <v>2.5019999999999998</v>
      </c>
      <c r="EW5" s="25"/>
    </row>
    <row r="6" spans="1:153" ht="17.25" customHeight="1" x14ac:dyDescent="0.25">
      <c r="A6" s="25" t="s">
        <v>126</v>
      </c>
      <c r="B6" s="25">
        <v>3.9350000000000001</v>
      </c>
      <c r="C6" s="25">
        <v>2.6840000000000002</v>
      </c>
      <c r="D6" s="25">
        <v>2.0720000000000001</v>
      </c>
      <c r="E6" s="25">
        <v>0.68500000000000005</v>
      </c>
      <c r="F6" s="25">
        <v>0</v>
      </c>
      <c r="G6" s="25">
        <v>1.7250000000000001</v>
      </c>
      <c r="H6" s="25">
        <v>2.4790000000000001</v>
      </c>
      <c r="I6" s="25">
        <v>3.7509999999999999</v>
      </c>
      <c r="J6" s="25">
        <v>4.0190000000000001</v>
      </c>
      <c r="K6" s="25">
        <v>4.9969999999999999</v>
      </c>
      <c r="L6" s="25">
        <v>5.9530000000000003</v>
      </c>
      <c r="M6" s="25">
        <v>4.7060000000000004</v>
      </c>
      <c r="N6" s="25">
        <v>3.9169999999999998</v>
      </c>
      <c r="O6" s="25">
        <v>2.1850000000000001</v>
      </c>
      <c r="P6" s="25">
        <v>2.61</v>
      </c>
      <c r="Q6" s="25">
        <v>2.72</v>
      </c>
      <c r="R6" s="25">
        <v>3.7269999999999999</v>
      </c>
      <c r="S6" s="25">
        <v>4.6619999999999999</v>
      </c>
      <c r="T6" s="25">
        <v>5.0519999999999996</v>
      </c>
      <c r="U6" s="25">
        <v>7.0949999999999998</v>
      </c>
      <c r="V6" s="25">
        <v>6.2839999999999998</v>
      </c>
      <c r="W6" s="25">
        <v>5.8129999999999997</v>
      </c>
      <c r="X6" s="25">
        <v>12.007</v>
      </c>
      <c r="Y6" s="25">
        <v>9.0969999999999995</v>
      </c>
      <c r="Z6" s="25">
        <v>10.573</v>
      </c>
      <c r="AA6" s="25">
        <v>11.135999999999999</v>
      </c>
      <c r="AB6" s="25">
        <v>12.871</v>
      </c>
      <c r="AC6" s="25">
        <v>24.244</v>
      </c>
      <c r="AD6" s="25">
        <v>11.760999999999999</v>
      </c>
      <c r="AE6" s="25">
        <v>5.6920000000000002</v>
      </c>
      <c r="AF6" s="25">
        <v>8.3239999999999998</v>
      </c>
      <c r="AG6" s="25">
        <v>7.4169999999999998</v>
      </c>
      <c r="AH6" s="25">
        <v>2.6840000000000002</v>
      </c>
      <c r="AI6" s="25">
        <v>2.1850000000000001</v>
      </c>
      <c r="AJ6" s="25">
        <v>2.4790000000000001</v>
      </c>
      <c r="AK6" s="25">
        <v>3.7509999999999999</v>
      </c>
      <c r="AL6" s="25">
        <v>2.72</v>
      </c>
      <c r="AM6" s="25">
        <v>7.1550000000000002</v>
      </c>
      <c r="AN6" s="25">
        <v>10.548</v>
      </c>
      <c r="AO6" s="25">
        <v>2.1850000000000001</v>
      </c>
      <c r="AP6" s="25">
        <v>5.32</v>
      </c>
      <c r="AQ6" s="25">
        <v>3.1669999999999998</v>
      </c>
      <c r="AR6" s="25">
        <v>2.1850000000000001</v>
      </c>
      <c r="AS6" s="25">
        <v>2.1850000000000001</v>
      </c>
      <c r="AT6" s="25">
        <v>2.1850000000000001</v>
      </c>
      <c r="AU6" s="25">
        <v>3.0369999999999999</v>
      </c>
      <c r="AV6" s="25">
        <v>2.1850000000000001</v>
      </c>
      <c r="AW6" s="25">
        <v>2.629</v>
      </c>
      <c r="AX6" s="25">
        <v>7.4859999999999998</v>
      </c>
      <c r="AY6" s="25">
        <v>2.1850000000000001</v>
      </c>
      <c r="AZ6" s="25">
        <v>4.0839999999999996</v>
      </c>
      <c r="BA6" s="25">
        <v>2.1850000000000001</v>
      </c>
      <c r="BB6" s="25">
        <v>2.7130000000000001</v>
      </c>
      <c r="BC6" s="25">
        <v>2.1850000000000001</v>
      </c>
      <c r="BD6" s="25">
        <v>3.508</v>
      </c>
      <c r="BE6" s="25">
        <v>2.1850000000000001</v>
      </c>
      <c r="BF6" s="25">
        <v>37.375999999999998</v>
      </c>
      <c r="BG6" s="25">
        <v>2.1850000000000001</v>
      </c>
      <c r="BH6" s="25">
        <v>2.1850000000000001</v>
      </c>
      <c r="BI6" s="25">
        <v>23.55</v>
      </c>
      <c r="BJ6" s="25">
        <v>2.1850000000000001</v>
      </c>
      <c r="BK6" s="25">
        <v>2.1850000000000001</v>
      </c>
      <c r="BL6" s="25">
        <v>2.1850000000000001</v>
      </c>
      <c r="BM6" s="25">
        <v>2.1850000000000001</v>
      </c>
      <c r="BN6" s="25">
        <v>2.1850000000000001</v>
      </c>
      <c r="BO6" s="25">
        <v>2.1850000000000001</v>
      </c>
      <c r="BP6" s="25">
        <v>6.6669999999999998</v>
      </c>
      <c r="BQ6" s="25">
        <v>1.046</v>
      </c>
      <c r="BR6" s="25">
        <v>2.1850000000000001</v>
      </c>
      <c r="BS6" s="25">
        <v>2.1850000000000001</v>
      </c>
      <c r="BT6" s="25">
        <v>2.1850000000000001</v>
      </c>
      <c r="BU6" s="25">
        <v>7.3230000000000004</v>
      </c>
      <c r="BV6" s="25">
        <v>2.1850000000000001</v>
      </c>
      <c r="BW6" s="25">
        <v>2.1850000000000001</v>
      </c>
      <c r="BX6" s="25">
        <v>6.4580000000000002</v>
      </c>
      <c r="BY6" s="25">
        <v>1.651</v>
      </c>
      <c r="BZ6" s="25">
        <v>0.81</v>
      </c>
      <c r="CA6" s="25">
        <v>2.1850000000000001</v>
      </c>
      <c r="CB6" s="25">
        <v>2.1850000000000001</v>
      </c>
      <c r="CC6" s="25">
        <v>7.2530000000000001</v>
      </c>
      <c r="CD6" s="25">
        <v>9.0969999999999995</v>
      </c>
      <c r="CE6" s="25">
        <v>2.1850000000000001</v>
      </c>
      <c r="CF6" s="25">
        <v>17.582999999999998</v>
      </c>
      <c r="CG6" s="25">
        <v>25.643000000000001</v>
      </c>
      <c r="CH6" s="25">
        <v>2.1850000000000001</v>
      </c>
      <c r="CI6" s="25">
        <v>2.1850000000000001</v>
      </c>
      <c r="CJ6" s="25">
        <v>2.1850000000000001</v>
      </c>
      <c r="CK6" s="25">
        <v>2.1850000000000001</v>
      </c>
      <c r="CL6" s="25">
        <v>2.1850000000000001</v>
      </c>
      <c r="CM6" s="25">
        <v>2.1850000000000001</v>
      </c>
      <c r="CN6" s="25">
        <v>2.1850000000000001</v>
      </c>
      <c r="CO6" s="25">
        <v>2.1850000000000001</v>
      </c>
      <c r="CP6" s="25">
        <v>2.1850000000000001</v>
      </c>
      <c r="CQ6" s="25">
        <v>2.1850000000000001</v>
      </c>
      <c r="CR6" s="25">
        <v>2.1850000000000001</v>
      </c>
      <c r="CS6" s="25">
        <v>42.249000000000002</v>
      </c>
      <c r="CT6" s="25">
        <v>2.1850000000000001</v>
      </c>
      <c r="CU6" s="25">
        <v>2.1850000000000001</v>
      </c>
      <c r="CV6" s="25">
        <v>5.2290000000000001</v>
      </c>
      <c r="CW6" s="25">
        <v>2.1850000000000001</v>
      </c>
      <c r="CX6" s="25">
        <v>2.1850000000000001</v>
      </c>
      <c r="CY6" s="25">
        <v>2.1850000000000001</v>
      </c>
      <c r="CZ6" s="25">
        <v>6.6040000000000001</v>
      </c>
      <c r="DA6" s="25">
        <v>1.9279999999999999</v>
      </c>
      <c r="DB6" s="25">
        <v>12.701000000000001</v>
      </c>
      <c r="DC6" s="25">
        <v>12.034000000000001</v>
      </c>
      <c r="DD6" s="25">
        <v>2.0920000000000001</v>
      </c>
      <c r="DE6" s="25">
        <v>20.898</v>
      </c>
      <c r="DF6" s="25">
        <v>2.1850000000000001</v>
      </c>
      <c r="DG6" s="25">
        <v>5.7610000000000001</v>
      </c>
      <c r="DH6" s="25">
        <v>35.296999999999997</v>
      </c>
      <c r="DI6" s="25">
        <v>2.1850000000000001</v>
      </c>
      <c r="DJ6" s="25">
        <v>2.1850000000000001</v>
      </c>
      <c r="DK6" s="25">
        <v>3.391</v>
      </c>
      <c r="DL6" s="25">
        <v>2.1850000000000001</v>
      </c>
      <c r="DM6" s="25">
        <v>20.898</v>
      </c>
      <c r="DN6" s="25">
        <v>2.1850000000000001</v>
      </c>
      <c r="DO6" s="25">
        <v>2.1850000000000001</v>
      </c>
      <c r="DP6" s="25">
        <v>2.1850000000000001</v>
      </c>
      <c r="DQ6" s="25">
        <v>2.1850000000000001</v>
      </c>
      <c r="DR6" s="25">
        <v>2.1850000000000001</v>
      </c>
      <c r="DS6" s="25">
        <v>2.1850000000000001</v>
      </c>
      <c r="DT6" s="25">
        <v>2.1850000000000001</v>
      </c>
      <c r="DU6" s="25">
        <v>3.855</v>
      </c>
      <c r="DV6" s="25">
        <v>2.1850000000000001</v>
      </c>
      <c r="DW6" s="25">
        <v>10.531000000000001</v>
      </c>
      <c r="DX6" s="25">
        <v>15.331</v>
      </c>
      <c r="DY6" s="25">
        <v>2.1850000000000001</v>
      </c>
      <c r="DZ6" s="25">
        <v>15.596</v>
      </c>
      <c r="EA6" s="25">
        <v>2.1850000000000001</v>
      </c>
      <c r="EB6" s="25">
        <v>5.7320000000000002</v>
      </c>
      <c r="EC6" s="25">
        <v>2.1850000000000001</v>
      </c>
      <c r="ED6" s="25">
        <v>2.1850000000000001</v>
      </c>
      <c r="EE6" s="25">
        <v>2.1850000000000001</v>
      </c>
      <c r="EF6" s="25">
        <v>2.1850000000000001</v>
      </c>
      <c r="EG6" s="25">
        <v>4.9889999999999999</v>
      </c>
      <c r="EH6" s="25">
        <v>9.3800000000000008</v>
      </c>
      <c r="EI6" s="25">
        <v>2.1850000000000001</v>
      </c>
      <c r="EJ6" s="25">
        <v>2.72</v>
      </c>
      <c r="EK6" s="25">
        <v>2.1850000000000001</v>
      </c>
      <c r="EL6" s="25">
        <v>2.1850000000000001</v>
      </c>
      <c r="EM6" s="25">
        <v>5.7569999999999997</v>
      </c>
      <c r="EN6" s="25">
        <v>2.1850000000000001</v>
      </c>
      <c r="EO6" s="25">
        <v>5.2089999999999996</v>
      </c>
      <c r="EP6" s="25">
        <v>2.1850000000000001</v>
      </c>
      <c r="EQ6" s="25">
        <v>2.1850000000000001</v>
      </c>
      <c r="ER6" s="25">
        <v>43.411000000000001</v>
      </c>
      <c r="ES6" s="25">
        <v>12.55</v>
      </c>
      <c r="ET6" s="25">
        <v>2.1850000000000001</v>
      </c>
      <c r="EU6" s="25">
        <v>2.1850000000000001</v>
      </c>
      <c r="EV6" s="25">
        <v>2.1850000000000001</v>
      </c>
      <c r="EW6" s="25"/>
    </row>
    <row r="7" spans="1:153" ht="17.25" customHeight="1" x14ac:dyDescent="0.25">
      <c r="A7" s="25" t="s">
        <v>98</v>
      </c>
      <c r="B7" s="25">
        <v>5.1449999999999996</v>
      </c>
      <c r="C7" s="25">
        <v>3.8940000000000001</v>
      </c>
      <c r="D7" s="25">
        <v>3.282</v>
      </c>
      <c r="E7" s="25">
        <v>1.895</v>
      </c>
      <c r="F7" s="25">
        <v>2.0049999999999999</v>
      </c>
      <c r="G7" s="25">
        <v>0</v>
      </c>
      <c r="H7" s="25">
        <v>0.754</v>
      </c>
      <c r="I7" s="25">
        <v>2.0259999999999998</v>
      </c>
      <c r="J7" s="25">
        <v>2.294</v>
      </c>
      <c r="K7" s="25">
        <v>3.2719999999999998</v>
      </c>
      <c r="L7" s="25">
        <v>4.2279999999999998</v>
      </c>
      <c r="M7" s="25">
        <v>3.6040000000000001</v>
      </c>
      <c r="N7" s="25">
        <v>2.21</v>
      </c>
      <c r="O7" s="25">
        <v>0.46</v>
      </c>
      <c r="P7" s="25">
        <v>0.91800000000000004</v>
      </c>
      <c r="Q7" s="25">
        <v>1.7190000000000001</v>
      </c>
      <c r="R7" s="25">
        <v>2.7759999999999998</v>
      </c>
      <c r="S7" s="25">
        <v>3.855</v>
      </c>
      <c r="T7" s="25">
        <v>4.1180000000000003</v>
      </c>
      <c r="U7" s="25">
        <v>6.4429999999999996</v>
      </c>
      <c r="V7" s="25">
        <v>5.6059999999999999</v>
      </c>
      <c r="W7" s="25">
        <v>4.8789999999999996</v>
      </c>
      <c r="X7" s="25">
        <v>10.282</v>
      </c>
      <c r="Y7" s="25">
        <v>10.183999999999999</v>
      </c>
      <c r="Z7" s="25">
        <v>11.66</v>
      </c>
      <c r="AA7" s="25">
        <v>16.231000000000002</v>
      </c>
      <c r="AB7" s="25">
        <v>17.966000000000001</v>
      </c>
      <c r="AC7" s="25">
        <v>24.849</v>
      </c>
      <c r="AD7" s="25">
        <v>10.036</v>
      </c>
      <c r="AE7" s="25">
        <v>6.9020000000000001</v>
      </c>
      <c r="AF7" s="25">
        <v>6.5990000000000002</v>
      </c>
      <c r="AG7" s="25">
        <v>5.6920000000000002</v>
      </c>
      <c r="AH7" s="25">
        <v>3.8940000000000001</v>
      </c>
      <c r="AI7" s="25">
        <v>0.46</v>
      </c>
      <c r="AJ7" s="25">
        <v>0.754</v>
      </c>
      <c r="AK7" s="25">
        <v>2.0259999999999998</v>
      </c>
      <c r="AL7" s="25">
        <v>1.7190000000000001</v>
      </c>
      <c r="AM7" s="25">
        <v>5.43</v>
      </c>
      <c r="AN7" s="25">
        <v>11.423</v>
      </c>
      <c r="AO7" s="25">
        <v>0.46</v>
      </c>
      <c r="AP7" s="25">
        <v>6.53</v>
      </c>
      <c r="AQ7" s="25">
        <v>4.3760000000000003</v>
      </c>
      <c r="AR7" s="25">
        <v>0.46</v>
      </c>
      <c r="AS7" s="25">
        <v>0.46</v>
      </c>
      <c r="AT7" s="25">
        <v>0.46</v>
      </c>
      <c r="AU7" s="25">
        <v>4.1239999999999997</v>
      </c>
      <c r="AV7" s="25">
        <v>0.46</v>
      </c>
      <c r="AW7" s="25">
        <v>3.544</v>
      </c>
      <c r="AX7" s="25">
        <v>6.3840000000000003</v>
      </c>
      <c r="AY7" s="25">
        <v>0.46</v>
      </c>
      <c r="AZ7" s="25">
        <v>2.359</v>
      </c>
      <c r="BA7" s="25">
        <v>0.46</v>
      </c>
      <c r="BB7" s="25">
        <v>0.98799999999999999</v>
      </c>
      <c r="BC7" s="25">
        <v>0.46</v>
      </c>
      <c r="BD7" s="25">
        <v>1.7829999999999999</v>
      </c>
      <c r="BE7" s="25">
        <v>0.46</v>
      </c>
      <c r="BF7" s="25">
        <v>37.981000000000002</v>
      </c>
      <c r="BG7" s="25">
        <v>0.46</v>
      </c>
      <c r="BH7" s="25">
        <v>0.46</v>
      </c>
      <c r="BI7" s="25">
        <v>26.16</v>
      </c>
      <c r="BJ7" s="25">
        <v>0.46</v>
      </c>
      <c r="BK7" s="25">
        <v>0.46</v>
      </c>
      <c r="BL7" s="25">
        <v>0.46</v>
      </c>
      <c r="BM7" s="25">
        <v>0.46</v>
      </c>
      <c r="BN7" s="25">
        <v>0.46</v>
      </c>
      <c r="BO7" s="25">
        <v>0.46</v>
      </c>
      <c r="BP7" s="25">
        <v>6.4240000000000004</v>
      </c>
      <c r="BQ7" s="25">
        <v>2.2559999999999998</v>
      </c>
      <c r="BR7" s="25">
        <v>0.46</v>
      </c>
      <c r="BS7" s="25">
        <v>0.46</v>
      </c>
      <c r="BT7" s="25">
        <v>0.46</v>
      </c>
      <c r="BU7" s="25">
        <v>8.2219999999999995</v>
      </c>
      <c r="BV7" s="25">
        <v>0.46</v>
      </c>
      <c r="BW7" s="25">
        <v>0.46</v>
      </c>
      <c r="BX7" s="25">
        <v>4.8970000000000002</v>
      </c>
      <c r="BY7" s="25">
        <v>1.2010000000000001</v>
      </c>
      <c r="BZ7" s="25">
        <v>2.02</v>
      </c>
      <c r="CA7" s="25">
        <v>0.46</v>
      </c>
      <c r="CB7" s="25">
        <v>0.46</v>
      </c>
      <c r="CC7" s="25">
        <v>8.34</v>
      </c>
      <c r="CD7" s="25">
        <v>10.183999999999999</v>
      </c>
      <c r="CE7" s="25">
        <v>0.46</v>
      </c>
      <c r="CF7" s="25">
        <v>18.187999999999999</v>
      </c>
      <c r="CG7" s="25">
        <v>26.248000000000001</v>
      </c>
      <c r="CH7" s="25">
        <v>0.46</v>
      </c>
      <c r="CI7" s="25">
        <v>0.46</v>
      </c>
      <c r="CJ7" s="25">
        <v>0.46</v>
      </c>
      <c r="CK7" s="25">
        <v>0.46</v>
      </c>
      <c r="CL7" s="25">
        <v>0.46</v>
      </c>
      <c r="CM7" s="25">
        <v>0.46</v>
      </c>
      <c r="CN7" s="25">
        <v>0.46</v>
      </c>
      <c r="CO7" s="25">
        <v>0.46</v>
      </c>
      <c r="CP7" s="25">
        <v>0.46</v>
      </c>
      <c r="CQ7" s="25">
        <v>0.46</v>
      </c>
      <c r="CR7" s="25">
        <v>0.46</v>
      </c>
      <c r="CS7" s="25">
        <v>44.86</v>
      </c>
      <c r="CT7" s="25">
        <v>0.46</v>
      </c>
      <c r="CU7" s="25">
        <v>0.46</v>
      </c>
      <c r="CV7" s="25">
        <v>3.504</v>
      </c>
      <c r="CW7" s="25">
        <v>0.46</v>
      </c>
      <c r="CX7" s="25">
        <v>0.46</v>
      </c>
      <c r="CY7" s="25">
        <v>0.46</v>
      </c>
      <c r="CZ7" s="25">
        <v>7.5030000000000001</v>
      </c>
      <c r="DA7" s="25">
        <v>1.6459999999999999</v>
      </c>
      <c r="DB7" s="25">
        <v>13.788</v>
      </c>
      <c r="DC7" s="25">
        <v>13.121</v>
      </c>
      <c r="DD7" s="25">
        <v>3.302</v>
      </c>
      <c r="DE7" s="25">
        <v>17.111000000000001</v>
      </c>
      <c r="DF7" s="25">
        <v>0.46</v>
      </c>
      <c r="DG7" s="25">
        <v>7.0430000000000001</v>
      </c>
      <c r="DH7" s="25">
        <v>35.902000000000001</v>
      </c>
      <c r="DI7" s="25">
        <v>0.46</v>
      </c>
      <c r="DJ7" s="25">
        <v>0.46</v>
      </c>
      <c r="DK7" s="25">
        <v>2.3690000000000002</v>
      </c>
      <c r="DL7" s="25">
        <v>0.46</v>
      </c>
      <c r="DM7" s="25">
        <v>17.111000000000001</v>
      </c>
      <c r="DN7" s="25">
        <v>0.46</v>
      </c>
      <c r="DO7" s="25">
        <v>0.46</v>
      </c>
      <c r="DP7" s="25">
        <v>0.46</v>
      </c>
      <c r="DQ7" s="25">
        <v>0.46</v>
      </c>
      <c r="DR7" s="25">
        <v>0.46</v>
      </c>
      <c r="DS7" s="25">
        <v>0.46</v>
      </c>
      <c r="DT7" s="25">
        <v>0.46</v>
      </c>
      <c r="DU7" s="25">
        <v>5.1369999999999996</v>
      </c>
      <c r="DV7" s="25">
        <v>0.46</v>
      </c>
      <c r="DW7" s="25">
        <v>8.8059999999999992</v>
      </c>
      <c r="DX7" s="25">
        <v>14.397</v>
      </c>
      <c r="DY7" s="25">
        <v>0.46</v>
      </c>
      <c r="DZ7" s="25">
        <v>14.662000000000001</v>
      </c>
      <c r="EA7" s="25">
        <v>0.46</v>
      </c>
      <c r="EB7" s="25">
        <v>7.0140000000000002</v>
      </c>
      <c r="EC7" s="25">
        <v>0.46</v>
      </c>
      <c r="ED7" s="25">
        <v>0.46</v>
      </c>
      <c r="EE7" s="25">
        <v>0.46</v>
      </c>
      <c r="EF7" s="25">
        <v>0.46</v>
      </c>
      <c r="EG7" s="25">
        <v>6.2709999999999999</v>
      </c>
      <c r="EH7" s="25">
        <v>7.6550000000000002</v>
      </c>
      <c r="EI7" s="25">
        <v>0.46</v>
      </c>
      <c r="EJ7" s="25">
        <v>1.7190000000000001</v>
      </c>
      <c r="EK7" s="25">
        <v>0.46</v>
      </c>
      <c r="EL7" s="25">
        <v>0.46</v>
      </c>
      <c r="EM7" s="25">
        <v>4.8230000000000004</v>
      </c>
      <c r="EN7" s="25">
        <v>0.46</v>
      </c>
      <c r="EO7" s="25">
        <v>4.9420000000000002</v>
      </c>
      <c r="EP7" s="25">
        <v>0.46</v>
      </c>
      <c r="EQ7" s="25">
        <v>0.46</v>
      </c>
      <c r="ER7" s="25">
        <v>44.015999999999998</v>
      </c>
      <c r="ES7" s="25">
        <v>10.824999999999999</v>
      </c>
      <c r="ET7" s="25">
        <v>0.46</v>
      </c>
      <c r="EU7" s="25">
        <v>0.46</v>
      </c>
      <c r="EV7" s="25">
        <v>0.46</v>
      </c>
      <c r="EW7" s="25"/>
    </row>
    <row r="8" spans="1:153" ht="17.25" customHeight="1" x14ac:dyDescent="0.25">
      <c r="A8" s="30" t="s">
        <v>127</v>
      </c>
      <c r="B8" s="25">
        <v>5.899</v>
      </c>
      <c r="C8" s="25">
        <v>4.6479999999999997</v>
      </c>
      <c r="D8" s="25">
        <v>4.0359999999999996</v>
      </c>
      <c r="E8" s="26">
        <v>2.649</v>
      </c>
      <c r="F8" s="25">
        <v>2.7589999999999999</v>
      </c>
      <c r="G8" s="25">
        <v>0.754</v>
      </c>
      <c r="H8" s="25">
        <v>0</v>
      </c>
      <c r="I8" s="25">
        <v>1.272</v>
      </c>
      <c r="J8" s="25">
        <v>1.54</v>
      </c>
      <c r="K8" s="25">
        <v>2.5179999999999998</v>
      </c>
      <c r="L8" s="25">
        <v>3.4740000000000002</v>
      </c>
      <c r="M8" s="25">
        <v>3.4239999999999999</v>
      </c>
      <c r="N8" s="25">
        <v>2.056</v>
      </c>
      <c r="O8" s="25">
        <v>0.29399999999999998</v>
      </c>
      <c r="P8" s="25">
        <v>1.6060000000000001</v>
      </c>
      <c r="Q8" s="25">
        <v>2.4</v>
      </c>
      <c r="R8" s="25">
        <v>3.258</v>
      </c>
      <c r="S8" s="25">
        <v>4.484</v>
      </c>
      <c r="T8" s="25">
        <v>4.7469999999999999</v>
      </c>
      <c r="U8" s="25">
        <v>7.0720000000000001</v>
      </c>
      <c r="V8" s="25">
        <v>6.2350000000000003</v>
      </c>
      <c r="W8" s="25">
        <v>5.508</v>
      </c>
      <c r="X8" s="25">
        <v>9.5280000000000005</v>
      </c>
      <c r="Y8" s="25">
        <v>10.69</v>
      </c>
      <c r="Z8" s="25">
        <v>12.166</v>
      </c>
      <c r="AA8" s="25">
        <v>16.86</v>
      </c>
      <c r="AB8" s="25">
        <v>18.594999999999999</v>
      </c>
      <c r="AC8" s="25">
        <v>25.478000000000002</v>
      </c>
      <c r="AD8" s="25">
        <v>9.282</v>
      </c>
      <c r="AE8" s="25">
        <v>7.6559999999999997</v>
      </c>
      <c r="AF8" s="25">
        <v>5.8449999999999998</v>
      </c>
      <c r="AG8" s="25">
        <v>4.9379999999999997</v>
      </c>
      <c r="AH8" s="25">
        <v>4.6479999999999997</v>
      </c>
      <c r="AI8" s="25">
        <v>0.29399999999999998</v>
      </c>
      <c r="AJ8" s="25">
        <v>0</v>
      </c>
      <c r="AK8" s="25">
        <v>1.272</v>
      </c>
      <c r="AL8" s="25">
        <v>2.4</v>
      </c>
      <c r="AM8" s="25">
        <v>4.6760000000000002</v>
      </c>
      <c r="AN8" s="25">
        <v>12.052</v>
      </c>
      <c r="AO8" s="25">
        <v>0.29399999999999998</v>
      </c>
      <c r="AP8" s="25">
        <v>8.202</v>
      </c>
      <c r="AQ8" s="25">
        <v>5.13</v>
      </c>
      <c r="AR8" s="25">
        <v>0.29399999999999998</v>
      </c>
      <c r="AS8" s="25">
        <v>0.29399999999999998</v>
      </c>
      <c r="AT8" s="25">
        <v>0.29399999999999998</v>
      </c>
      <c r="AU8" s="25">
        <v>4.6289999999999996</v>
      </c>
      <c r="AV8" s="25">
        <v>0.29399999999999998</v>
      </c>
      <c r="AW8" s="25">
        <v>4.1859999999999999</v>
      </c>
      <c r="AX8" s="25">
        <v>6.2380000000000004</v>
      </c>
      <c r="AY8" s="25">
        <v>0.29399999999999998</v>
      </c>
      <c r="AZ8" s="25">
        <v>1.605</v>
      </c>
      <c r="BA8" s="25">
        <v>0.29399999999999998</v>
      </c>
      <c r="BB8" s="25">
        <v>1.728</v>
      </c>
      <c r="BC8" s="25">
        <v>0.29399999999999998</v>
      </c>
      <c r="BD8" s="25">
        <v>1.0289999999999999</v>
      </c>
      <c r="BE8" s="25">
        <v>0.29399999999999998</v>
      </c>
      <c r="BF8" s="25">
        <v>38.61</v>
      </c>
      <c r="BG8" s="25">
        <v>0.29399999999999998</v>
      </c>
      <c r="BH8" s="25">
        <v>0.29399999999999998</v>
      </c>
      <c r="BI8" s="25">
        <v>26.789000000000001</v>
      </c>
      <c r="BJ8" s="25">
        <v>0.29399999999999998</v>
      </c>
      <c r="BK8" s="25">
        <v>0.29399999999999998</v>
      </c>
      <c r="BL8" s="25">
        <v>0.29399999999999998</v>
      </c>
      <c r="BM8" s="25">
        <v>0.29399999999999998</v>
      </c>
      <c r="BN8" s="25">
        <v>0.29399999999999998</v>
      </c>
      <c r="BO8" s="25">
        <v>0.29399999999999998</v>
      </c>
      <c r="BP8" s="25">
        <v>7.0529999999999999</v>
      </c>
      <c r="BQ8" s="25">
        <v>3.01</v>
      </c>
      <c r="BR8" s="25">
        <v>0.29399999999999998</v>
      </c>
      <c r="BS8" s="25">
        <v>0.29399999999999998</v>
      </c>
      <c r="BT8" s="25">
        <v>0.29399999999999998</v>
      </c>
      <c r="BU8" s="25">
        <v>8.8510000000000009</v>
      </c>
      <c r="BV8" s="25">
        <v>0.29399999999999998</v>
      </c>
      <c r="BW8" s="25">
        <v>0.29399999999999998</v>
      </c>
      <c r="BX8" s="25">
        <v>4.1429999999999998</v>
      </c>
      <c r="BY8" s="25">
        <v>1.9550000000000001</v>
      </c>
      <c r="BZ8" s="25">
        <v>2.774</v>
      </c>
      <c r="CA8" s="25">
        <v>0.29399999999999998</v>
      </c>
      <c r="CB8" s="25">
        <v>0.29399999999999998</v>
      </c>
      <c r="CC8" s="25">
        <v>8.8460000000000001</v>
      </c>
      <c r="CD8" s="25">
        <v>10.69</v>
      </c>
      <c r="CE8" s="25">
        <v>0.29399999999999998</v>
      </c>
      <c r="CF8" s="25">
        <v>18.817</v>
      </c>
      <c r="CG8" s="25">
        <v>26.876999999999999</v>
      </c>
      <c r="CH8" s="25">
        <v>0.29399999999999998</v>
      </c>
      <c r="CI8" s="25">
        <v>0.29399999999999998</v>
      </c>
      <c r="CJ8" s="25">
        <v>0.29399999999999998</v>
      </c>
      <c r="CK8" s="25">
        <v>0.29399999999999998</v>
      </c>
      <c r="CL8" s="25">
        <v>0.29399999999999998</v>
      </c>
      <c r="CM8" s="25">
        <v>0.29399999999999998</v>
      </c>
      <c r="CN8" s="25">
        <v>0.29399999999999998</v>
      </c>
      <c r="CO8" s="25">
        <v>0.29399999999999998</v>
      </c>
      <c r="CP8" s="25">
        <v>0.29399999999999998</v>
      </c>
      <c r="CQ8" s="25">
        <v>0.29399999999999998</v>
      </c>
      <c r="CR8" s="25">
        <v>0.29399999999999998</v>
      </c>
      <c r="CS8" s="25">
        <v>45.488999999999997</v>
      </c>
      <c r="CT8" s="25">
        <v>0.29399999999999998</v>
      </c>
      <c r="CU8" s="25">
        <v>0.29399999999999998</v>
      </c>
      <c r="CV8" s="25">
        <v>3.323</v>
      </c>
      <c r="CW8" s="25">
        <v>0.29399999999999998</v>
      </c>
      <c r="CX8" s="25">
        <v>0.29399999999999998</v>
      </c>
      <c r="CY8" s="25">
        <v>0.29399999999999998</v>
      </c>
      <c r="CZ8" s="25">
        <v>8.1319999999999997</v>
      </c>
      <c r="DA8" s="25">
        <v>2.3759999999999999</v>
      </c>
      <c r="DB8" s="25">
        <v>14.294</v>
      </c>
      <c r="DC8" s="25">
        <v>13.627000000000001</v>
      </c>
      <c r="DD8" s="25">
        <v>4.056</v>
      </c>
      <c r="DE8" s="25">
        <v>16.356999999999999</v>
      </c>
      <c r="DF8" s="25">
        <v>0.29399999999999998</v>
      </c>
      <c r="DG8" s="25">
        <v>7.6849999999999996</v>
      </c>
      <c r="DH8" s="25">
        <v>36.530999999999999</v>
      </c>
      <c r="DI8" s="25">
        <v>0.29399999999999998</v>
      </c>
      <c r="DJ8" s="25">
        <v>0.29399999999999998</v>
      </c>
      <c r="DK8" s="25">
        <v>2.7160000000000002</v>
      </c>
      <c r="DL8" s="25">
        <v>0.29399999999999998</v>
      </c>
      <c r="DM8" s="25">
        <v>16.356999999999999</v>
      </c>
      <c r="DN8" s="25">
        <v>0.29399999999999998</v>
      </c>
      <c r="DO8" s="25">
        <v>0.29399999999999998</v>
      </c>
      <c r="DP8" s="25">
        <v>0.29399999999999998</v>
      </c>
      <c r="DQ8" s="25">
        <v>0.29399999999999998</v>
      </c>
      <c r="DR8" s="25">
        <v>0.29399999999999998</v>
      </c>
      <c r="DS8" s="25">
        <v>0.29399999999999998</v>
      </c>
      <c r="DT8" s="25">
        <v>0.29399999999999998</v>
      </c>
      <c r="DU8" s="25">
        <v>5.7789999999999999</v>
      </c>
      <c r="DV8" s="25">
        <v>0.29399999999999998</v>
      </c>
      <c r="DW8" s="25">
        <v>8.0519999999999996</v>
      </c>
      <c r="DX8" s="25">
        <v>15.026</v>
      </c>
      <c r="DY8" s="25">
        <v>0.29399999999999998</v>
      </c>
      <c r="DZ8" s="25">
        <v>15.291</v>
      </c>
      <c r="EA8" s="25">
        <v>0.29399999999999998</v>
      </c>
      <c r="EB8" s="25">
        <v>7.6559999999999997</v>
      </c>
      <c r="EC8" s="25">
        <v>0.29399999999999998</v>
      </c>
      <c r="ED8" s="25">
        <v>0.29399999999999998</v>
      </c>
      <c r="EE8" s="25">
        <v>0.29399999999999998</v>
      </c>
      <c r="EF8" s="25">
        <v>0.29399999999999998</v>
      </c>
      <c r="EG8" s="25">
        <v>6.9130000000000003</v>
      </c>
      <c r="EH8" s="25">
        <v>6.9009999999999998</v>
      </c>
      <c r="EI8" s="25">
        <v>0.29399999999999998</v>
      </c>
      <c r="EJ8" s="25">
        <v>2.4</v>
      </c>
      <c r="EK8" s="25">
        <v>0.29399999999999998</v>
      </c>
      <c r="EL8" s="25">
        <v>0.29399999999999998</v>
      </c>
      <c r="EM8" s="25">
        <v>5.452</v>
      </c>
      <c r="EN8" s="25">
        <v>0.29399999999999998</v>
      </c>
      <c r="EO8" s="25">
        <v>5.5709999999999997</v>
      </c>
      <c r="EP8" s="25">
        <v>0.29399999999999998</v>
      </c>
      <c r="EQ8" s="25">
        <v>0.29399999999999998</v>
      </c>
      <c r="ER8" s="25">
        <v>44.645000000000003</v>
      </c>
      <c r="ES8" s="25">
        <v>10.071</v>
      </c>
      <c r="ET8" s="25">
        <v>0.29399999999999998</v>
      </c>
      <c r="EU8" s="25">
        <v>0.29399999999999998</v>
      </c>
      <c r="EV8" s="25">
        <v>0.29399999999999998</v>
      </c>
      <c r="EW8" s="25"/>
    </row>
    <row r="9" spans="1:153" ht="17.25" customHeight="1" x14ac:dyDescent="0.25">
      <c r="A9" s="25" t="s">
        <v>128</v>
      </c>
      <c r="B9" s="25">
        <v>7.1719999999999997</v>
      </c>
      <c r="C9" s="25">
        <v>5.9210000000000003</v>
      </c>
      <c r="D9" s="25">
        <v>5.3090000000000002</v>
      </c>
      <c r="E9" s="25">
        <v>3.9220000000000002</v>
      </c>
      <c r="F9" s="25">
        <v>4.032</v>
      </c>
      <c r="G9" s="25">
        <v>2.0259999999999998</v>
      </c>
      <c r="H9" s="25">
        <v>1.2729999999999999</v>
      </c>
      <c r="I9" s="25">
        <v>0</v>
      </c>
      <c r="J9" s="25">
        <v>0.51100000000000001</v>
      </c>
      <c r="K9" s="25">
        <v>1.286</v>
      </c>
      <c r="L9" s="25">
        <v>2.242</v>
      </c>
      <c r="M9" s="25">
        <v>4.38</v>
      </c>
      <c r="N9" s="25">
        <v>3.012</v>
      </c>
      <c r="O9" s="25">
        <v>1.5669999999999999</v>
      </c>
      <c r="P9" s="25">
        <v>2.7810000000000001</v>
      </c>
      <c r="Q9" s="25">
        <v>3.2229999999999999</v>
      </c>
      <c r="R9" s="25">
        <v>3.4870000000000001</v>
      </c>
      <c r="S9" s="25">
        <v>4.0339999999999998</v>
      </c>
      <c r="T9" s="25">
        <v>4.2969999999999997</v>
      </c>
      <c r="U9" s="25">
        <v>6.2839999999999998</v>
      </c>
      <c r="V9" s="25">
        <v>5.4470000000000001</v>
      </c>
      <c r="W9" s="25">
        <v>4.72</v>
      </c>
      <c r="X9" s="25">
        <v>8.2959999999999994</v>
      </c>
      <c r="Y9" s="25">
        <v>11.696999999999999</v>
      </c>
      <c r="Z9" s="25">
        <v>13.173</v>
      </c>
      <c r="AA9" s="25">
        <v>16.41</v>
      </c>
      <c r="AB9" s="25">
        <v>18.145</v>
      </c>
      <c r="AC9" s="25">
        <v>25.027999999999999</v>
      </c>
      <c r="AD9" s="25">
        <v>8.0500000000000007</v>
      </c>
      <c r="AE9" s="25">
        <v>8.9290000000000003</v>
      </c>
      <c r="AF9" s="25">
        <v>4.6130000000000004</v>
      </c>
      <c r="AG9" s="25">
        <v>3.706</v>
      </c>
      <c r="AH9" s="25">
        <v>5.9210000000000003</v>
      </c>
      <c r="AI9" s="25">
        <v>1.5669999999999999</v>
      </c>
      <c r="AJ9" s="25">
        <v>1.2729999999999999</v>
      </c>
      <c r="AK9" s="25">
        <v>0</v>
      </c>
      <c r="AL9" s="25">
        <v>3.2229999999999999</v>
      </c>
      <c r="AM9" s="25">
        <v>3.444</v>
      </c>
      <c r="AN9" s="25">
        <v>11.493</v>
      </c>
      <c r="AO9" s="25">
        <v>1.5669999999999999</v>
      </c>
      <c r="AP9" s="25">
        <v>9.2089999999999996</v>
      </c>
      <c r="AQ9" s="25">
        <v>6.4029999999999996</v>
      </c>
      <c r="AR9" s="25">
        <v>1.5669999999999999</v>
      </c>
      <c r="AS9" s="25">
        <v>1.5669999999999999</v>
      </c>
      <c r="AT9" s="25">
        <v>1.5669999999999999</v>
      </c>
      <c r="AU9" s="25">
        <v>5.6360000000000001</v>
      </c>
      <c r="AV9" s="25">
        <v>1.5669999999999999</v>
      </c>
      <c r="AW9" s="25">
        <v>5.2629999999999999</v>
      </c>
      <c r="AX9" s="25">
        <v>7.194</v>
      </c>
      <c r="AY9" s="25">
        <v>1.5669999999999999</v>
      </c>
      <c r="AZ9" s="25">
        <v>2.5609999999999999</v>
      </c>
      <c r="BA9" s="25">
        <v>1.5669999999999999</v>
      </c>
      <c r="BB9" s="25">
        <v>3</v>
      </c>
      <c r="BC9" s="25">
        <v>1.5669999999999999</v>
      </c>
      <c r="BD9" s="25">
        <v>1.9850000000000001</v>
      </c>
      <c r="BE9" s="25">
        <v>1.5669999999999999</v>
      </c>
      <c r="BF9" s="25">
        <v>38.159999999999997</v>
      </c>
      <c r="BG9" s="25">
        <v>1.5669999999999999</v>
      </c>
      <c r="BH9" s="25">
        <v>1.5669999999999999</v>
      </c>
      <c r="BI9" s="25">
        <v>26.338999999999999</v>
      </c>
      <c r="BJ9" s="25">
        <v>1.5669999999999999</v>
      </c>
      <c r="BK9" s="25">
        <v>1.5669999999999999</v>
      </c>
      <c r="BL9" s="25">
        <v>1.5669999999999999</v>
      </c>
      <c r="BM9" s="25">
        <v>1.5669999999999999</v>
      </c>
      <c r="BN9" s="25">
        <v>1.5669999999999999</v>
      </c>
      <c r="BO9" s="25">
        <v>1.5669999999999999</v>
      </c>
      <c r="BP9" s="25">
        <v>6.2649999999999997</v>
      </c>
      <c r="BQ9" s="25">
        <v>4.2830000000000004</v>
      </c>
      <c r="BR9" s="25">
        <v>1.5669999999999999</v>
      </c>
      <c r="BS9" s="25">
        <v>1.5669999999999999</v>
      </c>
      <c r="BT9" s="25">
        <v>1.5669999999999999</v>
      </c>
      <c r="BU9" s="25">
        <v>8.4700000000000006</v>
      </c>
      <c r="BV9" s="25">
        <v>1.5669999999999999</v>
      </c>
      <c r="BW9" s="25">
        <v>1.5669999999999999</v>
      </c>
      <c r="BX9" s="25">
        <v>2.871</v>
      </c>
      <c r="BY9" s="25">
        <v>3.2280000000000002</v>
      </c>
      <c r="BZ9" s="25">
        <v>4.0469999999999997</v>
      </c>
      <c r="CA9" s="25">
        <v>1.5669999999999999</v>
      </c>
      <c r="CB9" s="25">
        <v>1.5669999999999999</v>
      </c>
      <c r="CC9" s="25">
        <v>9.8529999999999998</v>
      </c>
      <c r="CD9" s="25">
        <v>11.696999999999999</v>
      </c>
      <c r="CE9" s="25">
        <v>1.5669999999999999</v>
      </c>
      <c r="CF9" s="25">
        <v>18.367000000000001</v>
      </c>
      <c r="CG9" s="25">
        <v>26.427</v>
      </c>
      <c r="CH9" s="25">
        <v>1.5669999999999999</v>
      </c>
      <c r="CI9" s="25">
        <v>1.5669999999999999</v>
      </c>
      <c r="CJ9" s="25">
        <v>1.5669999999999999</v>
      </c>
      <c r="CK9" s="25">
        <v>1.5669999999999999</v>
      </c>
      <c r="CL9" s="25">
        <v>1.5669999999999999</v>
      </c>
      <c r="CM9" s="25">
        <v>1.5669999999999999</v>
      </c>
      <c r="CN9" s="25">
        <v>1.5669999999999999</v>
      </c>
      <c r="CO9" s="25">
        <v>1.5669999999999999</v>
      </c>
      <c r="CP9" s="25">
        <v>1.5669999999999999</v>
      </c>
      <c r="CQ9" s="25">
        <v>1.5669999999999999</v>
      </c>
      <c r="CR9" s="25">
        <v>1.5669999999999999</v>
      </c>
      <c r="CS9" s="25">
        <v>45.039000000000001</v>
      </c>
      <c r="CT9" s="25">
        <v>1.5669999999999999</v>
      </c>
      <c r="CU9" s="25">
        <v>1.5669999999999999</v>
      </c>
      <c r="CV9" s="25">
        <v>1.8129999999999999</v>
      </c>
      <c r="CW9" s="25">
        <v>1.5669999999999999</v>
      </c>
      <c r="CX9" s="25">
        <v>1.5669999999999999</v>
      </c>
      <c r="CY9" s="25">
        <v>1.5669999999999999</v>
      </c>
      <c r="CZ9" s="25">
        <v>7.7510000000000003</v>
      </c>
      <c r="DA9" s="25">
        <v>3.4529999999999998</v>
      </c>
      <c r="DB9" s="25">
        <v>15.301</v>
      </c>
      <c r="DC9" s="25">
        <v>14.634</v>
      </c>
      <c r="DD9" s="25">
        <v>5.3289999999999997</v>
      </c>
      <c r="DE9" s="25">
        <v>15.125</v>
      </c>
      <c r="DF9" s="25">
        <v>1.5669999999999999</v>
      </c>
      <c r="DG9" s="25">
        <v>10.544</v>
      </c>
      <c r="DH9" s="25">
        <v>36.081000000000003</v>
      </c>
      <c r="DI9" s="25">
        <v>1.5669999999999999</v>
      </c>
      <c r="DJ9" s="25">
        <v>1.5669999999999999</v>
      </c>
      <c r="DK9" s="25">
        <v>2.63</v>
      </c>
      <c r="DL9" s="25">
        <v>1.5669999999999999</v>
      </c>
      <c r="DM9" s="25">
        <v>15.125</v>
      </c>
      <c r="DN9" s="25">
        <v>1.5669999999999999</v>
      </c>
      <c r="DO9" s="25">
        <v>1.5669999999999999</v>
      </c>
      <c r="DP9" s="25">
        <v>1.5669999999999999</v>
      </c>
      <c r="DQ9" s="25">
        <v>1.5669999999999999</v>
      </c>
      <c r="DR9" s="25">
        <v>1.5669999999999999</v>
      </c>
      <c r="DS9" s="25">
        <v>1.5669999999999999</v>
      </c>
      <c r="DT9" s="25">
        <v>1.5669999999999999</v>
      </c>
      <c r="DU9" s="25">
        <v>6.8559999999999999</v>
      </c>
      <c r="DV9" s="25">
        <v>1.5669999999999999</v>
      </c>
      <c r="DW9" s="25">
        <v>6.82</v>
      </c>
      <c r="DX9" s="25">
        <v>12.441000000000001</v>
      </c>
      <c r="DY9" s="25">
        <v>1.5669999999999999</v>
      </c>
      <c r="DZ9" s="25">
        <v>12.706</v>
      </c>
      <c r="EA9" s="25">
        <v>1.5669999999999999</v>
      </c>
      <c r="EB9" s="25">
        <v>10.515000000000001</v>
      </c>
      <c r="EC9" s="25">
        <v>1.5669999999999999</v>
      </c>
      <c r="ED9" s="25">
        <v>1.5669999999999999</v>
      </c>
      <c r="EE9" s="25">
        <v>1.5669999999999999</v>
      </c>
      <c r="EF9" s="25">
        <v>1.5669999999999999</v>
      </c>
      <c r="EG9" s="25">
        <v>7.99</v>
      </c>
      <c r="EH9" s="25">
        <v>5.6689999999999996</v>
      </c>
      <c r="EI9" s="25">
        <v>1.5669999999999999</v>
      </c>
      <c r="EJ9" s="25">
        <v>3.2229999999999999</v>
      </c>
      <c r="EK9" s="25">
        <v>1.5669999999999999</v>
      </c>
      <c r="EL9" s="25">
        <v>1.5669999999999999</v>
      </c>
      <c r="EM9" s="25">
        <v>4.0860000000000003</v>
      </c>
      <c r="EN9" s="25">
        <v>1.5669999999999999</v>
      </c>
      <c r="EO9" s="25">
        <v>4.9320000000000004</v>
      </c>
      <c r="EP9" s="25">
        <v>1.5669999999999999</v>
      </c>
      <c r="EQ9" s="25">
        <v>1.5669999999999999</v>
      </c>
      <c r="ER9" s="25">
        <v>44.195</v>
      </c>
      <c r="ES9" s="25">
        <v>8.8390000000000004</v>
      </c>
      <c r="ET9" s="25">
        <v>1.5669999999999999</v>
      </c>
      <c r="EU9" s="25">
        <v>1.5669999999999999</v>
      </c>
      <c r="EV9" s="25">
        <v>1.5669999999999999</v>
      </c>
      <c r="EW9" s="25"/>
    </row>
    <row r="10" spans="1:153" ht="17.25" customHeight="1" x14ac:dyDescent="0.25">
      <c r="A10" s="25" t="s">
        <v>129</v>
      </c>
      <c r="B10" s="25">
        <v>7.3280000000000003</v>
      </c>
      <c r="C10" s="25">
        <v>6.077</v>
      </c>
      <c r="D10" s="25">
        <v>5.4649999999999999</v>
      </c>
      <c r="E10" s="25">
        <v>4.0780000000000003</v>
      </c>
      <c r="F10" s="25">
        <v>4.1879999999999997</v>
      </c>
      <c r="G10" s="25">
        <v>2.1819999999999999</v>
      </c>
      <c r="H10" s="25">
        <v>1.429</v>
      </c>
      <c r="I10" s="25">
        <v>0.19600000000000001</v>
      </c>
      <c r="J10" s="25">
        <v>0</v>
      </c>
      <c r="K10" s="25">
        <v>1.3149999999999999</v>
      </c>
      <c r="L10" s="25">
        <v>2.2709999999999999</v>
      </c>
      <c r="M10" s="25">
        <v>4.524</v>
      </c>
      <c r="N10" s="25">
        <v>3.1560000000000001</v>
      </c>
      <c r="O10" s="25">
        <v>1.7230000000000001</v>
      </c>
      <c r="P10" s="25">
        <v>2.9369999999999998</v>
      </c>
      <c r="Q10" s="25">
        <v>3.379</v>
      </c>
      <c r="R10" s="25">
        <v>3.6429999999999998</v>
      </c>
      <c r="S10" s="25">
        <v>4.1900000000000004</v>
      </c>
      <c r="T10" s="25">
        <v>4.4530000000000003</v>
      </c>
      <c r="U10" s="25">
        <v>6.44</v>
      </c>
      <c r="V10" s="25">
        <v>5.6029999999999998</v>
      </c>
      <c r="W10" s="25">
        <v>4.8760000000000003</v>
      </c>
      <c r="X10" s="25">
        <v>8.3249999999999993</v>
      </c>
      <c r="Y10" s="25">
        <v>11.863</v>
      </c>
      <c r="Z10" s="25">
        <v>13.339</v>
      </c>
      <c r="AA10" s="25">
        <v>16.565999999999999</v>
      </c>
      <c r="AB10" s="25">
        <v>18.300999999999998</v>
      </c>
      <c r="AC10" s="25">
        <v>25.184000000000001</v>
      </c>
      <c r="AD10" s="25">
        <v>8.0790000000000006</v>
      </c>
      <c r="AE10" s="25">
        <v>9.9469999999999992</v>
      </c>
      <c r="AF10" s="25">
        <v>4.6420000000000003</v>
      </c>
      <c r="AG10" s="25">
        <v>3.7349999999999999</v>
      </c>
      <c r="AH10" s="25">
        <v>6.077</v>
      </c>
      <c r="AI10" s="25">
        <v>1.7230000000000001</v>
      </c>
      <c r="AJ10" s="25">
        <v>1.429</v>
      </c>
      <c r="AK10" s="25">
        <v>0.19600000000000001</v>
      </c>
      <c r="AL10" s="25">
        <v>3.379</v>
      </c>
      <c r="AM10" s="25">
        <v>3.4729999999999999</v>
      </c>
      <c r="AN10" s="25">
        <v>11.54</v>
      </c>
      <c r="AO10" s="25">
        <v>1.7230000000000001</v>
      </c>
      <c r="AP10" s="25">
        <v>9.375</v>
      </c>
      <c r="AQ10" s="25">
        <v>6.5590000000000002</v>
      </c>
      <c r="AR10" s="25">
        <v>1.7230000000000001</v>
      </c>
      <c r="AS10" s="25">
        <v>1.7230000000000001</v>
      </c>
      <c r="AT10" s="25">
        <v>1.7230000000000001</v>
      </c>
      <c r="AU10" s="25">
        <v>5.8029999999999999</v>
      </c>
      <c r="AV10" s="25">
        <v>1.7230000000000001</v>
      </c>
      <c r="AW10" s="25">
        <v>5.4189999999999996</v>
      </c>
      <c r="AX10" s="25">
        <v>7.3380000000000001</v>
      </c>
      <c r="AY10" s="25">
        <v>1.7230000000000001</v>
      </c>
      <c r="AZ10" s="25">
        <v>2.7050000000000001</v>
      </c>
      <c r="BA10" s="25">
        <v>1.7230000000000001</v>
      </c>
      <c r="BB10" s="25">
        <v>3.1560000000000001</v>
      </c>
      <c r="BC10" s="25">
        <v>1.7230000000000001</v>
      </c>
      <c r="BD10" s="25">
        <v>2.129</v>
      </c>
      <c r="BE10" s="25">
        <v>1.7230000000000001</v>
      </c>
      <c r="BF10" s="25">
        <v>38.316000000000003</v>
      </c>
      <c r="BG10" s="25">
        <v>1.7230000000000001</v>
      </c>
      <c r="BH10" s="25">
        <v>1.7230000000000001</v>
      </c>
      <c r="BI10" s="25">
        <v>26.495000000000001</v>
      </c>
      <c r="BJ10" s="25">
        <v>1.7230000000000001</v>
      </c>
      <c r="BK10" s="25">
        <v>1.7230000000000001</v>
      </c>
      <c r="BL10" s="25">
        <v>1.7230000000000001</v>
      </c>
      <c r="BM10" s="25">
        <v>1.7230000000000001</v>
      </c>
      <c r="BN10" s="25">
        <v>1.7230000000000001</v>
      </c>
      <c r="BO10" s="25">
        <v>1.7230000000000001</v>
      </c>
      <c r="BP10" s="25">
        <v>6.4210000000000003</v>
      </c>
      <c r="BQ10" s="25">
        <v>4.4390000000000001</v>
      </c>
      <c r="BR10" s="25">
        <v>1.7230000000000001</v>
      </c>
      <c r="BS10" s="25">
        <v>1.7230000000000001</v>
      </c>
      <c r="BT10" s="25">
        <v>1.7230000000000001</v>
      </c>
      <c r="BU10" s="25">
        <v>8.6259999999999994</v>
      </c>
      <c r="BV10" s="25">
        <v>1.7230000000000001</v>
      </c>
      <c r="BW10" s="25">
        <v>1.7230000000000001</v>
      </c>
      <c r="BX10" s="25">
        <v>2.9180000000000001</v>
      </c>
      <c r="BY10" s="25">
        <v>3.7629999999999999</v>
      </c>
      <c r="BZ10" s="25">
        <v>4.2030000000000003</v>
      </c>
      <c r="CA10" s="25">
        <v>1.7230000000000001</v>
      </c>
      <c r="CB10" s="25">
        <v>1.7230000000000001</v>
      </c>
      <c r="CC10" s="25">
        <v>10.019</v>
      </c>
      <c r="CD10" s="25">
        <v>11.863</v>
      </c>
      <c r="CE10" s="25">
        <v>1.7230000000000001</v>
      </c>
      <c r="CF10" s="25">
        <v>18.523</v>
      </c>
      <c r="CG10" s="25">
        <v>26.582999999999998</v>
      </c>
      <c r="CH10" s="25">
        <v>1.7230000000000001</v>
      </c>
      <c r="CI10" s="25">
        <v>1.7230000000000001</v>
      </c>
      <c r="CJ10" s="25">
        <v>1.7230000000000001</v>
      </c>
      <c r="CK10" s="25">
        <v>1.7230000000000001</v>
      </c>
      <c r="CL10" s="25">
        <v>1.7230000000000001</v>
      </c>
      <c r="CM10" s="25">
        <v>1.7230000000000001</v>
      </c>
      <c r="CN10" s="25">
        <v>1.7230000000000001</v>
      </c>
      <c r="CO10" s="25">
        <v>1.7230000000000001</v>
      </c>
      <c r="CP10" s="25">
        <v>1.7230000000000001</v>
      </c>
      <c r="CQ10" s="25">
        <v>1.7230000000000001</v>
      </c>
      <c r="CR10" s="25">
        <v>1.7230000000000001</v>
      </c>
      <c r="CS10" s="25">
        <v>45.195</v>
      </c>
      <c r="CT10" s="25">
        <v>1.7230000000000001</v>
      </c>
      <c r="CU10" s="25">
        <v>1.7230000000000001</v>
      </c>
      <c r="CV10" s="25">
        <v>1.86</v>
      </c>
      <c r="CW10" s="25">
        <v>1.7230000000000001</v>
      </c>
      <c r="CX10" s="25">
        <v>1.7230000000000001</v>
      </c>
      <c r="CY10" s="25">
        <v>1.7230000000000001</v>
      </c>
      <c r="CZ10" s="25">
        <v>7.907</v>
      </c>
      <c r="DA10" s="25">
        <v>3.609</v>
      </c>
      <c r="DB10" s="25">
        <v>15.467000000000001</v>
      </c>
      <c r="DC10" s="25">
        <v>14.8</v>
      </c>
      <c r="DD10" s="25">
        <v>5.4850000000000003</v>
      </c>
      <c r="DE10" s="25">
        <v>14.679</v>
      </c>
      <c r="DF10" s="25">
        <v>1.7230000000000001</v>
      </c>
      <c r="DG10" s="25">
        <v>10.7</v>
      </c>
      <c r="DH10" s="25">
        <v>36.237000000000002</v>
      </c>
      <c r="DI10" s="25">
        <v>1.7230000000000001</v>
      </c>
      <c r="DJ10" s="25">
        <v>1.7230000000000001</v>
      </c>
      <c r="DK10" s="25">
        <v>2.786</v>
      </c>
      <c r="DL10" s="25">
        <v>1.7230000000000001</v>
      </c>
      <c r="DM10" s="25">
        <v>14.679</v>
      </c>
      <c r="DN10" s="25">
        <v>1.7230000000000001</v>
      </c>
      <c r="DO10" s="25">
        <v>1.7230000000000001</v>
      </c>
      <c r="DP10" s="25">
        <v>1.7230000000000001</v>
      </c>
      <c r="DQ10" s="25">
        <v>1.7230000000000001</v>
      </c>
      <c r="DR10" s="25">
        <v>1.7230000000000001</v>
      </c>
      <c r="DS10" s="25">
        <v>1.7230000000000001</v>
      </c>
      <c r="DT10" s="25">
        <v>1.7230000000000001</v>
      </c>
      <c r="DU10" s="25">
        <v>7.0119999999999996</v>
      </c>
      <c r="DV10" s="25">
        <v>1.7230000000000001</v>
      </c>
      <c r="DW10" s="25">
        <v>6.8490000000000002</v>
      </c>
      <c r="DX10" s="25">
        <v>12.488</v>
      </c>
      <c r="DY10" s="25">
        <v>1.7230000000000001</v>
      </c>
      <c r="DZ10" s="25">
        <v>12.753</v>
      </c>
      <c r="EA10" s="25">
        <v>1.7230000000000001</v>
      </c>
      <c r="EB10" s="25">
        <v>10.670999999999999</v>
      </c>
      <c r="EC10" s="25">
        <v>1.7230000000000001</v>
      </c>
      <c r="ED10" s="25">
        <v>1.7230000000000001</v>
      </c>
      <c r="EE10" s="25">
        <v>1.7230000000000001</v>
      </c>
      <c r="EF10" s="25">
        <v>1.7230000000000001</v>
      </c>
      <c r="EG10" s="25">
        <v>8.1460000000000008</v>
      </c>
      <c r="EH10" s="25">
        <v>5.4850000000000003</v>
      </c>
      <c r="EI10" s="25">
        <v>1.7230000000000001</v>
      </c>
      <c r="EJ10" s="25">
        <v>3.379</v>
      </c>
      <c r="EK10" s="25">
        <v>1.7230000000000001</v>
      </c>
      <c r="EL10" s="25">
        <v>1.7230000000000001</v>
      </c>
      <c r="EM10" s="25">
        <v>4.242</v>
      </c>
      <c r="EN10" s="25">
        <v>1.7230000000000001</v>
      </c>
      <c r="EO10" s="25">
        <v>5.0880000000000001</v>
      </c>
      <c r="EP10" s="25">
        <v>1.7230000000000001</v>
      </c>
      <c r="EQ10" s="25">
        <v>1.7230000000000001</v>
      </c>
      <c r="ER10" s="25">
        <v>44.350999999999999</v>
      </c>
      <c r="ES10" s="25">
        <v>8.8680000000000003</v>
      </c>
      <c r="ET10" s="25">
        <v>1.7230000000000001</v>
      </c>
      <c r="EU10" s="25">
        <v>1.7230000000000001</v>
      </c>
      <c r="EV10" s="25">
        <v>1.7230000000000001</v>
      </c>
      <c r="EW10" s="25"/>
    </row>
    <row r="11" spans="1:153" ht="17.25" customHeight="1" x14ac:dyDescent="0.25">
      <c r="A11" s="25" t="s">
        <v>130</v>
      </c>
      <c r="B11" s="25">
        <v>8.1270000000000007</v>
      </c>
      <c r="C11" s="25">
        <v>6.8760000000000003</v>
      </c>
      <c r="D11" s="25">
        <v>6.2640000000000002</v>
      </c>
      <c r="E11" s="25">
        <v>4.8769999999999998</v>
      </c>
      <c r="F11" s="25">
        <v>4.9870000000000001</v>
      </c>
      <c r="G11" s="25">
        <v>2.9809999999999999</v>
      </c>
      <c r="H11" s="25">
        <v>2.2280000000000002</v>
      </c>
      <c r="I11" s="25">
        <v>0.995</v>
      </c>
      <c r="J11" s="25">
        <v>0.79800000000000004</v>
      </c>
      <c r="K11" s="25">
        <v>0</v>
      </c>
      <c r="L11" s="25">
        <v>1.6439999999999999</v>
      </c>
      <c r="M11" s="25">
        <v>5.335</v>
      </c>
      <c r="N11" s="25">
        <v>3.9670000000000001</v>
      </c>
      <c r="O11" s="25">
        <v>2.5219999999999998</v>
      </c>
      <c r="P11" s="25">
        <v>3.7360000000000002</v>
      </c>
      <c r="Q11" s="25">
        <v>4.1779999999999999</v>
      </c>
      <c r="R11" s="25">
        <v>4.4420000000000002</v>
      </c>
      <c r="S11" s="25">
        <v>4.9889999999999999</v>
      </c>
      <c r="T11" s="25">
        <v>5.2519999999999998</v>
      </c>
      <c r="U11" s="25">
        <v>7.2389999999999999</v>
      </c>
      <c r="V11" s="25">
        <v>6.4020000000000001</v>
      </c>
      <c r="W11" s="25">
        <v>5.6749999999999998</v>
      </c>
      <c r="X11" s="25">
        <v>7.6989999999999998</v>
      </c>
      <c r="Y11" s="25">
        <v>12.664</v>
      </c>
      <c r="Z11" s="25">
        <v>14.14</v>
      </c>
      <c r="AA11" s="25">
        <v>17.364999999999998</v>
      </c>
      <c r="AB11" s="25">
        <v>19.100000000000001</v>
      </c>
      <c r="AC11" s="25">
        <v>25.983000000000001</v>
      </c>
      <c r="AD11" s="25">
        <v>7.4530000000000003</v>
      </c>
      <c r="AE11" s="25">
        <v>9.8840000000000003</v>
      </c>
      <c r="AF11" s="25">
        <v>4.016</v>
      </c>
      <c r="AG11" s="25">
        <v>3.109</v>
      </c>
      <c r="AH11" s="25">
        <v>6.8760000000000003</v>
      </c>
      <c r="AI11" s="25">
        <v>2.5219999999999998</v>
      </c>
      <c r="AJ11" s="25">
        <v>2.2280000000000002</v>
      </c>
      <c r="AK11" s="25">
        <v>0.995</v>
      </c>
      <c r="AL11" s="25">
        <v>4.1779999999999999</v>
      </c>
      <c r="AM11" s="25">
        <v>2.847</v>
      </c>
      <c r="AN11" s="25">
        <v>11.561999999999999</v>
      </c>
      <c r="AO11" s="25">
        <v>2.5219999999999998</v>
      </c>
      <c r="AP11" s="25">
        <v>10.176</v>
      </c>
      <c r="AQ11" s="25">
        <v>7.3579999999999997</v>
      </c>
      <c r="AR11" s="25">
        <v>2.5219999999999998</v>
      </c>
      <c r="AS11" s="25">
        <v>2.5219999999999998</v>
      </c>
      <c r="AT11" s="25">
        <v>2.5219999999999998</v>
      </c>
      <c r="AU11" s="25">
        <v>6.6040000000000001</v>
      </c>
      <c r="AV11" s="25">
        <v>2.5219999999999998</v>
      </c>
      <c r="AW11" s="25">
        <v>6.218</v>
      </c>
      <c r="AX11" s="25">
        <v>8.1489999999999991</v>
      </c>
      <c r="AY11" s="25">
        <v>2.5219999999999998</v>
      </c>
      <c r="AZ11" s="25">
        <v>3.516</v>
      </c>
      <c r="BA11" s="25">
        <v>2.5219999999999998</v>
      </c>
      <c r="BB11" s="25">
        <v>3.9550000000000001</v>
      </c>
      <c r="BC11" s="25">
        <v>2.5219999999999998</v>
      </c>
      <c r="BD11" s="25">
        <v>2.94</v>
      </c>
      <c r="BE11" s="25">
        <v>2.5219999999999998</v>
      </c>
      <c r="BF11" s="25">
        <v>39.115000000000002</v>
      </c>
      <c r="BG11" s="25">
        <v>2.5219999999999998</v>
      </c>
      <c r="BH11" s="25">
        <v>2.5219999999999998</v>
      </c>
      <c r="BI11" s="25">
        <v>27.294</v>
      </c>
      <c r="BJ11" s="25">
        <v>2.5219999999999998</v>
      </c>
      <c r="BK11" s="25">
        <v>2.5219999999999998</v>
      </c>
      <c r="BL11" s="25">
        <v>2.5219999999999998</v>
      </c>
      <c r="BM11" s="25">
        <v>2.5219999999999998</v>
      </c>
      <c r="BN11" s="25">
        <v>2.5219999999999998</v>
      </c>
      <c r="BO11" s="25">
        <v>2.5219999999999998</v>
      </c>
      <c r="BP11" s="25">
        <v>7.22</v>
      </c>
      <c r="BQ11" s="25">
        <v>5.2380000000000004</v>
      </c>
      <c r="BR11" s="25">
        <v>2.5219999999999998</v>
      </c>
      <c r="BS11" s="25">
        <v>2.5219999999999998</v>
      </c>
      <c r="BT11" s="25">
        <v>2.5219999999999998</v>
      </c>
      <c r="BU11" s="25">
        <v>9.4250000000000007</v>
      </c>
      <c r="BV11" s="25">
        <v>2.5219999999999998</v>
      </c>
      <c r="BW11" s="25">
        <v>2.5219999999999998</v>
      </c>
      <c r="BX11" s="25">
        <v>3.1629999999999998</v>
      </c>
      <c r="BY11" s="25">
        <v>4.5640000000000001</v>
      </c>
      <c r="BZ11" s="25">
        <v>5.0019999999999998</v>
      </c>
      <c r="CA11" s="25">
        <v>2.5219999999999998</v>
      </c>
      <c r="CB11" s="25">
        <v>2.5219999999999998</v>
      </c>
      <c r="CC11" s="25">
        <v>10.82</v>
      </c>
      <c r="CD11" s="25">
        <v>12.664</v>
      </c>
      <c r="CE11" s="25">
        <v>2.5219999999999998</v>
      </c>
      <c r="CF11" s="25">
        <v>19.321999999999999</v>
      </c>
      <c r="CG11" s="25">
        <v>27.382000000000001</v>
      </c>
      <c r="CH11" s="25">
        <v>2.5219999999999998</v>
      </c>
      <c r="CI11" s="25">
        <v>2.5219999999999998</v>
      </c>
      <c r="CJ11" s="25">
        <v>2.5219999999999998</v>
      </c>
      <c r="CK11" s="25">
        <v>2.5219999999999998</v>
      </c>
      <c r="CL11" s="25">
        <v>2.5219999999999998</v>
      </c>
      <c r="CM11" s="25">
        <v>2.5219999999999998</v>
      </c>
      <c r="CN11" s="25">
        <v>2.5219999999999998</v>
      </c>
      <c r="CO11" s="25">
        <v>2.5219999999999998</v>
      </c>
      <c r="CP11" s="25">
        <v>2.5219999999999998</v>
      </c>
      <c r="CQ11" s="25">
        <v>2.5219999999999998</v>
      </c>
      <c r="CR11" s="25">
        <v>2.5219999999999998</v>
      </c>
      <c r="CS11" s="25">
        <v>45.994</v>
      </c>
      <c r="CT11" s="25">
        <v>2.5219999999999998</v>
      </c>
      <c r="CU11" s="25">
        <v>2.5219999999999998</v>
      </c>
      <c r="CV11" s="25">
        <v>1.796</v>
      </c>
      <c r="CW11" s="25">
        <v>2.5219999999999998</v>
      </c>
      <c r="CX11" s="25">
        <v>2.5219999999999998</v>
      </c>
      <c r="CY11" s="25">
        <v>2.5219999999999998</v>
      </c>
      <c r="CZ11" s="25">
        <v>8.7059999999999995</v>
      </c>
      <c r="DA11" s="25">
        <v>4.4080000000000004</v>
      </c>
      <c r="DB11" s="25">
        <v>16.268000000000001</v>
      </c>
      <c r="DC11" s="25">
        <v>15.601000000000001</v>
      </c>
      <c r="DD11" s="25">
        <v>6.2839999999999998</v>
      </c>
      <c r="DE11" s="25">
        <v>14.241</v>
      </c>
      <c r="DF11" s="25">
        <v>2.5219999999999998</v>
      </c>
      <c r="DG11" s="25">
        <v>11.499000000000001</v>
      </c>
      <c r="DH11" s="25">
        <v>37.036000000000001</v>
      </c>
      <c r="DI11" s="25">
        <v>2.5219999999999998</v>
      </c>
      <c r="DJ11" s="25">
        <v>2.5219999999999998</v>
      </c>
      <c r="DK11" s="25">
        <v>3.585</v>
      </c>
      <c r="DL11" s="25">
        <v>2.5219999999999998</v>
      </c>
      <c r="DM11" s="25">
        <v>14.241</v>
      </c>
      <c r="DN11" s="25">
        <v>2.5219999999999998</v>
      </c>
      <c r="DO11" s="25">
        <v>2.5219999999999998</v>
      </c>
      <c r="DP11" s="25">
        <v>2.5219999999999998</v>
      </c>
      <c r="DQ11" s="25">
        <v>2.5219999999999998</v>
      </c>
      <c r="DR11" s="25">
        <v>2.5219999999999998</v>
      </c>
      <c r="DS11" s="25">
        <v>2.5219999999999998</v>
      </c>
      <c r="DT11" s="25">
        <v>2.5219999999999998</v>
      </c>
      <c r="DU11" s="25">
        <v>7.8109999999999999</v>
      </c>
      <c r="DV11" s="25">
        <v>2.5219999999999998</v>
      </c>
      <c r="DW11" s="25">
        <v>6.2229999999999999</v>
      </c>
      <c r="DX11" s="25">
        <v>13.103</v>
      </c>
      <c r="DY11" s="25">
        <v>2.5219999999999998</v>
      </c>
      <c r="DZ11" s="25">
        <v>13.368</v>
      </c>
      <c r="EA11" s="25">
        <v>2.5219999999999998</v>
      </c>
      <c r="EB11" s="25">
        <v>11.47</v>
      </c>
      <c r="EC11" s="25">
        <v>2.5219999999999998</v>
      </c>
      <c r="ED11" s="25">
        <v>2.5219999999999998</v>
      </c>
      <c r="EE11" s="25">
        <v>2.5219999999999998</v>
      </c>
      <c r="EF11" s="25">
        <v>2.5219999999999998</v>
      </c>
      <c r="EG11" s="25">
        <v>8.9450000000000003</v>
      </c>
      <c r="EH11" s="25">
        <v>5.0469999999999997</v>
      </c>
      <c r="EI11" s="25">
        <v>2.5219999999999998</v>
      </c>
      <c r="EJ11" s="25">
        <v>4.1779999999999999</v>
      </c>
      <c r="EK11" s="25">
        <v>2.5219999999999998</v>
      </c>
      <c r="EL11" s="25">
        <v>2.5219999999999998</v>
      </c>
      <c r="EM11" s="25">
        <v>4</v>
      </c>
      <c r="EN11" s="25">
        <v>2.5219999999999998</v>
      </c>
      <c r="EO11" s="25">
        <v>5.8869999999999996</v>
      </c>
      <c r="EP11" s="25">
        <v>2.5219999999999998</v>
      </c>
      <c r="EQ11" s="25">
        <v>2.5219999999999998</v>
      </c>
      <c r="ER11" s="25">
        <v>45.15</v>
      </c>
      <c r="ES11" s="25">
        <v>8.2420000000000009</v>
      </c>
      <c r="ET11" s="25">
        <v>2.5219999999999998</v>
      </c>
      <c r="EU11" s="25">
        <v>2.5219999999999998</v>
      </c>
      <c r="EV11" s="25">
        <v>2.5219999999999998</v>
      </c>
      <c r="EW11" s="25"/>
    </row>
    <row r="12" spans="1:153" ht="17.25" customHeight="1" x14ac:dyDescent="0.25">
      <c r="A12" s="25" t="s">
        <v>131</v>
      </c>
      <c r="B12" s="25">
        <v>16.917999999999999</v>
      </c>
      <c r="C12" s="25">
        <v>8.5139999999999993</v>
      </c>
      <c r="D12" s="25">
        <v>7.9020000000000001</v>
      </c>
      <c r="E12" s="25">
        <v>6.5149999999999997</v>
      </c>
      <c r="F12" s="25">
        <v>6.625</v>
      </c>
      <c r="G12" s="25">
        <v>4.6189999999999998</v>
      </c>
      <c r="H12" s="25">
        <v>3.8660000000000001</v>
      </c>
      <c r="I12" s="25">
        <v>2.633</v>
      </c>
      <c r="J12" s="25">
        <v>2.4369999999999998</v>
      </c>
      <c r="K12" s="25">
        <v>1.6379999999999999</v>
      </c>
      <c r="L12" s="25">
        <v>0</v>
      </c>
      <c r="M12" s="25">
        <v>7.2169999999999996</v>
      </c>
      <c r="N12" s="25">
        <v>5.8490000000000002</v>
      </c>
      <c r="O12" s="25">
        <v>4.16</v>
      </c>
      <c r="P12" s="25">
        <v>4.6989999999999998</v>
      </c>
      <c r="Q12" s="25">
        <v>4.835</v>
      </c>
      <c r="R12" s="25">
        <v>4.524</v>
      </c>
      <c r="S12" s="25">
        <v>8.1549999999999994</v>
      </c>
      <c r="T12" s="25">
        <v>8.4179999999999993</v>
      </c>
      <c r="U12" s="25">
        <v>6.5449999999999999</v>
      </c>
      <c r="V12" s="25">
        <v>6.4020000000000001</v>
      </c>
      <c r="W12" s="25">
        <v>5.73</v>
      </c>
      <c r="X12" s="25">
        <v>6.0640000000000001</v>
      </c>
      <c r="Y12" s="25">
        <v>19.361000000000001</v>
      </c>
      <c r="Z12" s="25">
        <v>20.835999999999999</v>
      </c>
      <c r="AA12" s="25">
        <v>20.527000000000001</v>
      </c>
      <c r="AB12" s="25">
        <v>22.262</v>
      </c>
      <c r="AC12" s="25">
        <v>29.145</v>
      </c>
      <c r="AD12" s="25">
        <v>5.8179999999999996</v>
      </c>
      <c r="AE12" s="25">
        <v>16.89</v>
      </c>
      <c r="AF12" s="25">
        <v>2.3809999999999998</v>
      </c>
      <c r="AG12" s="25">
        <v>1.474</v>
      </c>
      <c r="AH12" s="25">
        <v>8.5139999999999993</v>
      </c>
      <c r="AI12" s="25">
        <v>4.16</v>
      </c>
      <c r="AJ12" s="25">
        <v>3.8660000000000001</v>
      </c>
      <c r="AK12" s="25">
        <v>2.633</v>
      </c>
      <c r="AL12" s="25">
        <v>4.835</v>
      </c>
      <c r="AM12" s="25">
        <v>1.212</v>
      </c>
      <c r="AN12" s="25">
        <v>10.685</v>
      </c>
      <c r="AO12" s="25">
        <v>4.16</v>
      </c>
      <c r="AP12" s="25">
        <v>17.747</v>
      </c>
      <c r="AQ12" s="25">
        <v>9.1950000000000003</v>
      </c>
      <c r="AR12" s="25">
        <v>4.16</v>
      </c>
      <c r="AS12" s="25">
        <v>4.16</v>
      </c>
      <c r="AT12" s="25">
        <v>4.16</v>
      </c>
      <c r="AU12" s="25">
        <v>8.4960000000000004</v>
      </c>
      <c r="AV12" s="25">
        <v>4.16</v>
      </c>
      <c r="AW12" s="25">
        <v>6.5620000000000003</v>
      </c>
      <c r="AX12" s="25">
        <v>10.031000000000001</v>
      </c>
      <c r="AY12" s="25">
        <v>4.16</v>
      </c>
      <c r="AZ12" s="25">
        <v>5.3979999999999997</v>
      </c>
      <c r="BA12" s="25">
        <v>4.16</v>
      </c>
      <c r="BB12" s="25">
        <v>4.7690000000000001</v>
      </c>
      <c r="BC12" s="25">
        <v>4.16</v>
      </c>
      <c r="BD12" s="25">
        <v>4.8220000000000001</v>
      </c>
      <c r="BE12" s="25">
        <v>4.16</v>
      </c>
      <c r="BF12" s="25">
        <v>42.277000000000001</v>
      </c>
      <c r="BG12" s="25">
        <v>4.16</v>
      </c>
      <c r="BH12" s="25">
        <v>4.16</v>
      </c>
      <c r="BI12" s="25">
        <v>30.457000000000001</v>
      </c>
      <c r="BJ12" s="25">
        <v>4.16</v>
      </c>
      <c r="BK12" s="25">
        <v>4.16</v>
      </c>
      <c r="BL12" s="25">
        <v>4.16</v>
      </c>
      <c r="BM12" s="25">
        <v>4.16</v>
      </c>
      <c r="BN12" s="25">
        <v>4.16</v>
      </c>
      <c r="BO12" s="25">
        <v>4.16</v>
      </c>
      <c r="BP12" s="25">
        <v>7.2789999999999999</v>
      </c>
      <c r="BQ12" s="25">
        <v>6.8760000000000003</v>
      </c>
      <c r="BR12" s="25">
        <v>4.16</v>
      </c>
      <c r="BS12" s="25">
        <v>4.16</v>
      </c>
      <c r="BT12" s="25">
        <v>4.16</v>
      </c>
      <c r="BU12" s="25">
        <v>12.522</v>
      </c>
      <c r="BV12" s="25">
        <v>4.16</v>
      </c>
      <c r="BW12" s="25">
        <v>4.16</v>
      </c>
      <c r="BX12" s="25">
        <v>1.5189999999999999</v>
      </c>
      <c r="BY12" s="25">
        <v>6.4560000000000004</v>
      </c>
      <c r="BZ12" s="25">
        <v>6.64</v>
      </c>
      <c r="CA12" s="25">
        <v>4.16</v>
      </c>
      <c r="CB12" s="25">
        <v>4.16</v>
      </c>
      <c r="CC12" s="25">
        <v>18.456</v>
      </c>
      <c r="CD12" s="25">
        <v>19.361000000000001</v>
      </c>
      <c r="CE12" s="25">
        <v>4.16</v>
      </c>
      <c r="CF12" s="25">
        <v>22.484000000000002</v>
      </c>
      <c r="CG12" s="25">
        <v>30.544</v>
      </c>
      <c r="CH12" s="25">
        <v>4.16</v>
      </c>
      <c r="CI12" s="25">
        <v>4.16</v>
      </c>
      <c r="CJ12" s="25">
        <v>4.16</v>
      </c>
      <c r="CK12" s="25">
        <v>4.16</v>
      </c>
      <c r="CL12" s="25">
        <v>4.16</v>
      </c>
      <c r="CM12" s="25">
        <v>4.16</v>
      </c>
      <c r="CN12" s="25">
        <v>4.16</v>
      </c>
      <c r="CO12" s="25">
        <v>4.16</v>
      </c>
      <c r="CP12" s="25">
        <v>4.16</v>
      </c>
      <c r="CQ12" s="25">
        <v>4.16</v>
      </c>
      <c r="CR12" s="25">
        <v>4.16</v>
      </c>
      <c r="CS12" s="25">
        <v>49.156999999999996</v>
      </c>
      <c r="CT12" s="25">
        <v>4.16</v>
      </c>
      <c r="CU12" s="25">
        <v>4.16</v>
      </c>
      <c r="CV12" s="25">
        <v>2.5819999999999999</v>
      </c>
      <c r="CW12" s="25">
        <v>4.16</v>
      </c>
      <c r="CX12" s="25">
        <v>4.16</v>
      </c>
      <c r="CY12" s="25">
        <v>4.16</v>
      </c>
      <c r="CZ12" s="25">
        <v>11.803000000000001</v>
      </c>
      <c r="DA12" s="25">
        <v>5.3710000000000004</v>
      </c>
      <c r="DB12" s="25">
        <v>22.963999999999999</v>
      </c>
      <c r="DC12" s="25">
        <v>22.297000000000001</v>
      </c>
      <c r="DD12" s="25">
        <v>7.9219999999999997</v>
      </c>
      <c r="DE12" s="25">
        <v>12.893000000000001</v>
      </c>
      <c r="DF12" s="25">
        <v>4.16</v>
      </c>
      <c r="DG12" s="25">
        <v>14.662000000000001</v>
      </c>
      <c r="DH12" s="25">
        <v>40.198</v>
      </c>
      <c r="DI12" s="25">
        <v>4.16</v>
      </c>
      <c r="DJ12" s="25">
        <v>4.16</v>
      </c>
      <c r="DK12" s="25">
        <v>3.895</v>
      </c>
      <c r="DL12" s="25">
        <v>4.16</v>
      </c>
      <c r="DM12" s="25">
        <v>12.893000000000001</v>
      </c>
      <c r="DN12" s="25">
        <v>4.16</v>
      </c>
      <c r="DO12" s="25">
        <v>4.16</v>
      </c>
      <c r="DP12" s="25">
        <v>4.16</v>
      </c>
      <c r="DQ12" s="25">
        <v>4.16</v>
      </c>
      <c r="DR12" s="25">
        <v>4.16</v>
      </c>
      <c r="DS12" s="25">
        <v>4.16</v>
      </c>
      <c r="DT12" s="25">
        <v>4.16</v>
      </c>
      <c r="DU12" s="25">
        <v>8.7739999999999991</v>
      </c>
      <c r="DV12" s="25">
        <v>4.16</v>
      </c>
      <c r="DW12" s="25">
        <v>4.5880000000000001</v>
      </c>
      <c r="DX12" s="25">
        <v>11.468</v>
      </c>
      <c r="DY12" s="25">
        <v>4.16</v>
      </c>
      <c r="DZ12" s="25">
        <v>11.733000000000001</v>
      </c>
      <c r="EA12" s="25">
        <v>4.16</v>
      </c>
      <c r="EB12" s="25">
        <v>14.632999999999999</v>
      </c>
      <c r="EC12" s="25">
        <v>4.16</v>
      </c>
      <c r="ED12" s="25">
        <v>4.16</v>
      </c>
      <c r="EE12" s="25">
        <v>4.16</v>
      </c>
      <c r="EF12" s="25">
        <v>4.16</v>
      </c>
      <c r="EG12" s="25">
        <v>15.475</v>
      </c>
      <c r="EH12" s="25">
        <v>3.9060000000000001</v>
      </c>
      <c r="EI12" s="25">
        <v>4.16</v>
      </c>
      <c r="EJ12" s="25">
        <v>4.835</v>
      </c>
      <c r="EK12" s="25">
        <v>4.16</v>
      </c>
      <c r="EL12" s="25">
        <v>4.16</v>
      </c>
      <c r="EM12" s="25">
        <v>3.66</v>
      </c>
      <c r="EN12" s="25">
        <v>4.16</v>
      </c>
      <c r="EO12" s="25">
        <v>9.2420000000000009</v>
      </c>
      <c r="EP12" s="25">
        <v>4.16</v>
      </c>
      <c r="EQ12" s="25">
        <v>4.16</v>
      </c>
      <c r="ER12" s="25">
        <v>48.311999999999998</v>
      </c>
      <c r="ES12" s="25">
        <v>6.6070000000000002</v>
      </c>
      <c r="ET12" s="25">
        <v>4.16</v>
      </c>
      <c r="EU12" s="25">
        <v>4.16</v>
      </c>
      <c r="EV12" s="25">
        <v>4.16</v>
      </c>
      <c r="EW12" s="25"/>
    </row>
    <row r="13" spans="1:153" ht="17.25" customHeight="1" x14ac:dyDescent="0.25">
      <c r="A13" s="25" t="s">
        <v>132</v>
      </c>
      <c r="B13" s="25">
        <v>8.1869999999999994</v>
      </c>
      <c r="C13" s="25">
        <v>6.9359999999999999</v>
      </c>
      <c r="D13" s="25">
        <v>6.13</v>
      </c>
      <c r="E13" s="25">
        <v>5.4409999999999998</v>
      </c>
      <c r="F13" s="25">
        <v>4.3929999999999998</v>
      </c>
      <c r="G13" s="25">
        <v>3.5459999999999998</v>
      </c>
      <c r="H13" s="25">
        <v>4.0389999999999997</v>
      </c>
      <c r="I13" s="25">
        <v>4.319</v>
      </c>
      <c r="J13" s="25">
        <v>4.5759999999999996</v>
      </c>
      <c r="K13" s="25">
        <v>5.5529999999999999</v>
      </c>
      <c r="L13" s="25">
        <v>6.508</v>
      </c>
      <c r="M13" s="25">
        <v>0</v>
      </c>
      <c r="N13" s="25">
        <v>1.3540000000000001</v>
      </c>
      <c r="O13" s="25">
        <v>3.7610000000000001</v>
      </c>
      <c r="P13" s="25">
        <v>4.45</v>
      </c>
      <c r="Q13" s="25">
        <v>5.2510000000000003</v>
      </c>
      <c r="R13" s="25">
        <v>6.3079999999999998</v>
      </c>
      <c r="S13" s="25">
        <v>7.3869999999999996</v>
      </c>
      <c r="T13" s="25">
        <v>7.65</v>
      </c>
      <c r="U13" s="25">
        <v>9.9749999999999996</v>
      </c>
      <c r="V13" s="25">
        <v>9.1379999999999999</v>
      </c>
      <c r="W13" s="25">
        <v>8.4109999999999996</v>
      </c>
      <c r="X13" s="25">
        <v>12.563000000000001</v>
      </c>
      <c r="Y13" s="25">
        <v>11.15</v>
      </c>
      <c r="Z13" s="25">
        <v>12.625999999999999</v>
      </c>
      <c r="AA13" s="25">
        <v>15.65</v>
      </c>
      <c r="AB13" s="25">
        <v>17.385000000000002</v>
      </c>
      <c r="AC13" s="25">
        <v>28.381</v>
      </c>
      <c r="AD13" s="25">
        <v>12.317</v>
      </c>
      <c r="AE13" s="25">
        <v>10.29</v>
      </c>
      <c r="AF13" s="25">
        <v>8.8800000000000008</v>
      </c>
      <c r="AG13" s="25">
        <v>7.9729999999999999</v>
      </c>
      <c r="AH13" s="25">
        <v>6.9359999999999999</v>
      </c>
      <c r="AI13" s="25">
        <v>3.7610000000000001</v>
      </c>
      <c r="AJ13" s="25">
        <v>4.0389999999999997</v>
      </c>
      <c r="AK13" s="25">
        <v>4.319</v>
      </c>
      <c r="AL13" s="25">
        <v>5.2510000000000003</v>
      </c>
      <c r="AM13" s="25">
        <v>7.7110000000000003</v>
      </c>
      <c r="AN13" s="25">
        <v>14.955</v>
      </c>
      <c r="AO13" s="25">
        <v>3.7610000000000001</v>
      </c>
      <c r="AP13" s="25">
        <v>8.6620000000000008</v>
      </c>
      <c r="AQ13" s="25">
        <v>7.4960000000000004</v>
      </c>
      <c r="AR13" s="25">
        <v>3.7610000000000001</v>
      </c>
      <c r="AS13" s="25">
        <v>3.7610000000000001</v>
      </c>
      <c r="AT13" s="25">
        <v>3.7610000000000001</v>
      </c>
      <c r="AU13" s="25">
        <v>4.7389999999999999</v>
      </c>
      <c r="AV13" s="25">
        <v>3.7610000000000001</v>
      </c>
      <c r="AW13" s="25">
        <v>6.69</v>
      </c>
      <c r="AX13" s="25">
        <v>2.9540000000000002</v>
      </c>
      <c r="AY13" s="25">
        <v>3.7610000000000001</v>
      </c>
      <c r="AZ13" s="25">
        <v>2.024</v>
      </c>
      <c r="BA13" s="25">
        <v>3.7610000000000001</v>
      </c>
      <c r="BB13" s="25">
        <v>4.5199999999999996</v>
      </c>
      <c r="BC13" s="25">
        <v>3.7610000000000001</v>
      </c>
      <c r="BD13" s="25">
        <v>2.7090000000000001</v>
      </c>
      <c r="BE13" s="25">
        <v>3.7610000000000001</v>
      </c>
      <c r="BF13" s="25">
        <v>41.512999999999998</v>
      </c>
      <c r="BG13" s="25">
        <v>3.7610000000000001</v>
      </c>
      <c r="BH13" s="25">
        <v>3.7610000000000001</v>
      </c>
      <c r="BI13" s="25">
        <v>28.905999999999999</v>
      </c>
      <c r="BJ13" s="25">
        <v>3.7610000000000001</v>
      </c>
      <c r="BK13" s="25">
        <v>3.7610000000000001</v>
      </c>
      <c r="BL13" s="25">
        <v>3.7610000000000001</v>
      </c>
      <c r="BM13" s="25">
        <v>3.7610000000000001</v>
      </c>
      <c r="BN13" s="25">
        <v>3.7610000000000001</v>
      </c>
      <c r="BO13" s="25">
        <v>3.7610000000000001</v>
      </c>
      <c r="BP13" s="25">
        <v>9.9559999999999995</v>
      </c>
      <c r="BQ13" s="25">
        <v>5.4130000000000003</v>
      </c>
      <c r="BR13" s="25">
        <v>3.7610000000000001</v>
      </c>
      <c r="BS13" s="25">
        <v>3.7610000000000001</v>
      </c>
      <c r="BT13" s="25">
        <v>3.7610000000000001</v>
      </c>
      <c r="BU13" s="25">
        <v>11.754</v>
      </c>
      <c r="BV13" s="25">
        <v>3.7610000000000001</v>
      </c>
      <c r="BW13" s="25">
        <v>3.7610000000000001</v>
      </c>
      <c r="BX13" s="25">
        <v>7.19</v>
      </c>
      <c r="BY13" s="25">
        <v>3.3149999999999999</v>
      </c>
      <c r="BZ13" s="25">
        <v>5.5659999999999998</v>
      </c>
      <c r="CA13" s="25">
        <v>3.7610000000000001</v>
      </c>
      <c r="CB13" s="25">
        <v>3.7610000000000001</v>
      </c>
      <c r="CC13" s="25">
        <v>9.0120000000000005</v>
      </c>
      <c r="CD13" s="25">
        <v>11.15</v>
      </c>
      <c r="CE13" s="25">
        <v>3.7610000000000001</v>
      </c>
      <c r="CF13" s="25">
        <v>21.72</v>
      </c>
      <c r="CG13" s="25">
        <v>29.78</v>
      </c>
      <c r="CH13" s="25">
        <v>3.7610000000000001</v>
      </c>
      <c r="CI13" s="25">
        <v>3.7610000000000001</v>
      </c>
      <c r="CJ13" s="25">
        <v>3.7610000000000001</v>
      </c>
      <c r="CK13" s="25">
        <v>3.7610000000000001</v>
      </c>
      <c r="CL13" s="25">
        <v>3.7610000000000001</v>
      </c>
      <c r="CM13" s="25">
        <v>3.7610000000000001</v>
      </c>
      <c r="CN13" s="25">
        <v>3.7610000000000001</v>
      </c>
      <c r="CO13" s="25">
        <v>3.7610000000000001</v>
      </c>
      <c r="CP13" s="25">
        <v>3.7610000000000001</v>
      </c>
      <c r="CQ13" s="25">
        <v>3.7610000000000001</v>
      </c>
      <c r="CR13" s="25">
        <v>3.7610000000000001</v>
      </c>
      <c r="CS13" s="25">
        <v>47.604999999999997</v>
      </c>
      <c r="CT13" s="25">
        <v>3.7610000000000001</v>
      </c>
      <c r="CU13" s="25">
        <v>3.7610000000000001</v>
      </c>
      <c r="CV13" s="25">
        <v>6.79</v>
      </c>
      <c r="CW13" s="25">
        <v>3.7610000000000001</v>
      </c>
      <c r="CX13" s="25">
        <v>3.7610000000000001</v>
      </c>
      <c r="CY13" s="25">
        <v>3.7610000000000001</v>
      </c>
      <c r="CZ13" s="25">
        <v>11.035</v>
      </c>
      <c r="DA13" s="25">
        <v>4.9420000000000002</v>
      </c>
      <c r="DB13" s="25">
        <v>14.754</v>
      </c>
      <c r="DC13" s="25">
        <v>14.087</v>
      </c>
      <c r="DD13" s="25">
        <v>5.64</v>
      </c>
      <c r="DE13" s="25">
        <v>17.870999999999999</v>
      </c>
      <c r="DF13" s="25">
        <v>3.7610000000000001</v>
      </c>
      <c r="DG13" s="25">
        <v>11.141999999999999</v>
      </c>
      <c r="DH13" s="25">
        <v>39.433999999999997</v>
      </c>
      <c r="DI13" s="25">
        <v>3.7610000000000001</v>
      </c>
      <c r="DJ13" s="25">
        <v>3.7610000000000001</v>
      </c>
      <c r="DK13" s="25">
        <v>6.1829999999999998</v>
      </c>
      <c r="DL13" s="25">
        <v>3.7610000000000001</v>
      </c>
      <c r="DM13" s="25">
        <v>17.870999999999999</v>
      </c>
      <c r="DN13" s="25">
        <v>3.7610000000000001</v>
      </c>
      <c r="DO13" s="25">
        <v>3.7610000000000001</v>
      </c>
      <c r="DP13" s="25">
        <v>3.7610000000000001</v>
      </c>
      <c r="DQ13" s="25">
        <v>3.7610000000000001</v>
      </c>
      <c r="DR13" s="25">
        <v>3.7610000000000001</v>
      </c>
      <c r="DS13" s="25">
        <v>3.7610000000000001</v>
      </c>
      <c r="DT13" s="25">
        <v>3.7610000000000001</v>
      </c>
      <c r="DU13" s="25">
        <v>8.2349999999999994</v>
      </c>
      <c r="DV13" s="25">
        <v>3.7610000000000001</v>
      </c>
      <c r="DW13" s="25">
        <v>11.087</v>
      </c>
      <c r="DX13" s="25">
        <v>17.928999999999998</v>
      </c>
      <c r="DY13" s="25">
        <v>3.7610000000000001</v>
      </c>
      <c r="DZ13" s="25">
        <v>18.193999999999999</v>
      </c>
      <c r="EA13" s="25">
        <v>3.7610000000000001</v>
      </c>
      <c r="EB13" s="25">
        <v>11.113</v>
      </c>
      <c r="EC13" s="25">
        <v>3.7610000000000001</v>
      </c>
      <c r="ED13" s="25">
        <v>3.7610000000000001</v>
      </c>
      <c r="EE13" s="25">
        <v>3.7610000000000001</v>
      </c>
      <c r="EF13" s="25">
        <v>3.7610000000000001</v>
      </c>
      <c r="EG13" s="25">
        <v>9.3689999999999998</v>
      </c>
      <c r="EH13" s="25">
        <v>8.6769999999999996</v>
      </c>
      <c r="EI13" s="25">
        <v>3.7610000000000001</v>
      </c>
      <c r="EJ13" s="25">
        <v>5.2510000000000003</v>
      </c>
      <c r="EK13" s="25">
        <v>3.7610000000000001</v>
      </c>
      <c r="EL13" s="25">
        <v>3.7610000000000001</v>
      </c>
      <c r="EM13" s="25">
        <v>8.3550000000000004</v>
      </c>
      <c r="EN13" s="25">
        <v>3.7610000000000001</v>
      </c>
      <c r="EO13" s="25">
        <v>8.4740000000000002</v>
      </c>
      <c r="EP13" s="25">
        <v>3.7610000000000001</v>
      </c>
      <c r="EQ13" s="25">
        <v>3.7610000000000001</v>
      </c>
      <c r="ER13" s="25">
        <v>47.548000000000002</v>
      </c>
      <c r="ES13" s="25">
        <v>13.106</v>
      </c>
      <c r="ET13" s="25">
        <v>3.7610000000000001</v>
      </c>
      <c r="EU13" s="25">
        <v>3.7610000000000001</v>
      </c>
      <c r="EV13" s="25">
        <v>3.7610000000000001</v>
      </c>
      <c r="EW13" s="25"/>
    </row>
    <row r="14" spans="1:153" ht="17.25" customHeight="1" x14ac:dyDescent="0.25">
      <c r="A14" s="25" t="s">
        <v>133</v>
      </c>
      <c r="B14" s="25">
        <v>7.8239999999999998</v>
      </c>
      <c r="C14" s="25">
        <v>6.5730000000000004</v>
      </c>
      <c r="D14" s="25">
        <v>5.7670000000000003</v>
      </c>
      <c r="E14" s="25">
        <v>4.0919999999999996</v>
      </c>
      <c r="F14" s="25">
        <v>4.03</v>
      </c>
      <c r="G14" s="25">
        <v>2.1970000000000001</v>
      </c>
      <c r="H14" s="25">
        <v>2.077</v>
      </c>
      <c r="I14" s="25">
        <v>2.9660000000000002</v>
      </c>
      <c r="J14" s="25">
        <v>3.2229999999999999</v>
      </c>
      <c r="K14" s="25">
        <v>4.2</v>
      </c>
      <c r="L14" s="25">
        <v>5.1550000000000002</v>
      </c>
      <c r="M14" s="25">
        <v>1.367</v>
      </c>
      <c r="N14" s="25">
        <v>0</v>
      </c>
      <c r="O14" s="25">
        <v>2.339</v>
      </c>
      <c r="P14" s="25">
        <v>3.6509999999999998</v>
      </c>
      <c r="Q14" s="25">
        <v>4.0209999999999999</v>
      </c>
      <c r="R14" s="25">
        <v>4.8789999999999996</v>
      </c>
      <c r="S14" s="25">
        <v>6.0380000000000003</v>
      </c>
      <c r="T14" s="25">
        <v>6.3010000000000002</v>
      </c>
      <c r="U14" s="25">
        <v>8.6259999999999994</v>
      </c>
      <c r="V14" s="25">
        <v>7.7889999999999997</v>
      </c>
      <c r="W14" s="25">
        <v>7.0620000000000003</v>
      </c>
      <c r="X14" s="25">
        <v>11.21</v>
      </c>
      <c r="Y14" s="25">
        <v>10.557</v>
      </c>
      <c r="Z14" s="25">
        <v>12.032999999999999</v>
      </c>
      <c r="AA14" s="25">
        <v>15.057</v>
      </c>
      <c r="AB14" s="25">
        <v>16.792000000000002</v>
      </c>
      <c r="AC14" s="25">
        <v>27.032</v>
      </c>
      <c r="AD14" s="25">
        <v>10.964</v>
      </c>
      <c r="AE14" s="25">
        <v>9.6969999999999992</v>
      </c>
      <c r="AF14" s="25">
        <v>7.5270000000000001</v>
      </c>
      <c r="AG14" s="25">
        <v>6.62</v>
      </c>
      <c r="AH14" s="25">
        <v>6.5730000000000004</v>
      </c>
      <c r="AI14" s="25">
        <v>2.339</v>
      </c>
      <c r="AJ14" s="25">
        <v>2.077</v>
      </c>
      <c r="AK14" s="25">
        <v>2.9660000000000002</v>
      </c>
      <c r="AL14" s="25">
        <v>4.0209999999999999</v>
      </c>
      <c r="AM14" s="25">
        <v>6.3579999999999997</v>
      </c>
      <c r="AN14" s="25">
        <v>13.606</v>
      </c>
      <c r="AO14" s="25">
        <v>2.339</v>
      </c>
      <c r="AP14" s="25">
        <v>8.0690000000000008</v>
      </c>
      <c r="AQ14" s="25">
        <v>7.133</v>
      </c>
      <c r="AR14" s="25">
        <v>2.339</v>
      </c>
      <c r="AS14" s="25">
        <v>2.339</v>
      </c>
      <c r="AT14" s="25">
        <v>2.339</v>
      </c>
      <c r="AU14" s="25">
        <v>4.3760000000000003</v>
      </c>
      <c r="AV14" s="25">
        <v>2.339</v>
      </c>
      <c r="AW14" s="25">
        <v>6.2309999999999999</v>
      </c>
      <c r="AX14" s="25">
        <v>4.1820000000000004</v>
      </c>
      <c r="AY14" s="25">
        <v>2.339</v>
      </c>
      <c r="AZ14" s="25">
        <v>0.67</v>
      </c>
      <c r="BA14" s="25">
        <v>2.339</v>
      </c>
      <c r="BB14" s="25">
        <v>3.1709999999999998</v>
      </c>
      <c r="BC14" s="25">
        <v>2.339</v>
      </c>
      <c r="BD14" s="25">
        <v>1.3560000000000001</v>
      </c>
      <c r="BE14" s="25">
        <v>2.339</v>
      </c>
      <c r="BF14" s="25">
        <v>40.164000000000001</v>
      </c>
      <c r="BG14" s="25">
        <v>2.339</v>
      </c>
      <c r="BH14" s="25">
        <v>2.339</v>
      </c>
      <c r="BI14" s="25">
        <v>28.312999999999999</v>
      </c>
      <c r="BJ14" s="25">
        <v>2.339</v>
      </c>
      <c r="BK14" s="25">
        <v>2.339</v>
      </c>
      <c r="BL14" s="25">
        <v>2.339</v>
      </c>
      <c r="BM14" s="25">
        <v>2.339</v>
      </c>
      <c r="BN14" s="25">
        <v>2.339</v>
      </c>
      <c r="BO14" s="25">
        <v>2.339</v>
      </c>
      <c r="BP14" s="25">
        <v>8.6069999999999993</v>
      </c>
      <c r="BQ14" s="25">
        <v>4.4530000000000003</v>
      </c>
      <c r="BR14" s="25">
        <v>2.339</v>
      </c>
      <c r="BS14" s="25">
        <v>2.339</v>
      </c>
      <c r="BT14" s="25">
        <v>2.339</v>
      </c>
      <c r="BU14" s="25">
        <v>10.404999999999999</v>
      </c>
      <c r="BV14" s="25">
        <v>2.339</v>
      </c>
      <c r="BW14" s="25">
        <v>2.339</v>
      </c>
      <c r="BX14" s="25">
        <v>5.8369999999999997</v>
      </c>
      <c r="BY14" s="25">
        <v>2.952</v>
      </c>
      <c r="BZ14" s="25">
        <v>4.2169999999999996</v>
      </c>
      <c r="CA14" s="25">
        <v>2.339</v>
      </c>
      <c r="CB14" s="25">
        <v>2.339</v>
      </c>
      <c r="CC14" s="25">
        <v>8.9819999999999993</v>
      </c>
      <c r="CD14" s="25">
        <v>10.557</v>
      </c>
      <c r="CE14" s="25">
        <v>2.339</v>
      </c>
      <c r="CF14" s="25">
        <v>20.370999999999999</v>
      </c>
      <c r="CG14" s="25">
        <v>28.431000000000001</v>
      </c>
      <c r="CH14" s="25">
        <v>2.339</v>
      </c>
      <c r="CI14" s="25">
        <v>2.339</v>
      </c>
      <c r="CJ14" s="25">
        <v>2.339</v>
      </c>
      <c r="CK14" s="25">
        <v>2.339</v>
      </c>
      <c r="CL14" s="25">
        <v>2.339</v>
      </c>
      <c r="CM14" s="25">
        <v>2.339</v>
      </c>
      <c r="CN14" s="25">
        <v>2.339</v>
      </c>
      <c r="CO14" s="25">
        <v>2.339</v>
      </c>
      <c r="CP14" s="25">
        <v>2.339</v>
      </c>
      <c r="CQ14" s="25">
        <v>2.339</v>
      </c>
      <c r="CR14" s="25">
        <v>2.339</v>
      </c>
      <c r="CS14" s="25">
        <v>47.012</v>
      </c>
      <c r="CT14" s="25">
        <v>2.339</v>
      </c>
      <c r="CU14" s="25">
        <v>2.339</v>
      </c>
      <c r="CV14" s="25">
        <v>4.5430000000000001</v>
      </c>
      <c r="CW14" s="25">
        <v>2.339</v>
      </c>
      <c r="CX14" s="25">
        <v>2.339</v>
      </c>
      <c r="CY14" s="25">
        <v>2.339</v>
      </c>
      <c r="CZ14" s="25">
        <v>9.6859999999999999</v>
      </c>
      <c r="DA14" s="25">
        <v>4.4210000000000003</v>
      </c>
      <c r="DB14" s="25">
        <v>14.161</v>
      </c>
      <c r="DC14" s="25">
        <v>13.494</v>
      </c>
      <c r="DD14" s="25">
        <v>5.2770000000000001</v>
      </c>
      <c r="DE14" s="25">
        <v>16.518000000000001</v>
      </c>
      <c r="DF14" s="25">
        <v>2.339</v>
      </c>
      <c r="DG14" s="25">
        <v>9.73</v>
      </c>
      <c r="DH14" s="25">
        <v>38.085000000000001</v>
      </c>
      <c r="DI14" s="25">
        <v>2.339</v>
      </c>
      <c r="DJ14" s="25">
        <v>2.339</v>
      </c>
      <c r="DK14" s="25">
        <v>4.3559999999999999</v>
      </c>
      <c r="DL14" s="25">
        <v>2.339</v>
      </c>
      <c r="DM14" s="25">
        <v>16.518000000000001</v>
      </c>
      <c r="DN14" s="25">
        <v>2.339</v>
      </c>
      <c r="DO14" s="25">
        <v>2.339</v>
      </c>
      <c r="DP14" s="25">
        <v>2.339</v>
      </c>
      <c r="DQ14" s="25">
        <v>2.339</v>
      </c>
      <c r="DR14" s="25">
        <v>2.339</v>
      </c>
      <c r="DS14" s="25">
        <v>2.339</v>
      </c>
      <c r="DT14" s="25">
        <v>2.339</v>
      </c>
      <c r="DU14" s="25">
        <v>7.8239999999999998</v>
      </c>
      <c r="DV14" s="25">
        <v>2.339</v>
      </c>
      <c r="DW14" s="25">
        <v>9.734</v>
      </c>
      <c r="DX14" s="25">
        <v>16.579999999999998</v>
      </c>
      <c r="DY14" s="25">
        <v>2.339</v>
      </c>
      <c r="DZ14" s="25">
        <v>16.844999999999999</v>
      </c>
      <c r="EA14" s="25">
        <v>2.339</v>
      </c>
      <c r="EB14" s="25">
        <v>9.7010000000000005</v>
      </c>
      <c r="EC14" s="25">
        <v>2.339</v>
      </c>
      <c r="ED14" s="25">
        <v>2.339</v>
      </c>
      <c r="EE14" s="25">
        <v>2.339</v>
      </c>
      <c r="EF14" s="25">
        <v>2.339</v>
      </c>
      <c r="EG14" s="25">
        <v>8.9580000000000002</v>
      </c>
      <c r="EH14" s="25">
        <v>7.3239999999999998</v>
      </c>
      <c r="EI14" s="25">
        <v>2.339</v>
      </c>
      <c r="EJ14" s="25">
        <v>4.0209999999999999</v>
      </c>
      <c r="EK14" s="25">
        <v>2.339</v>
      </c>
      <c r="EL14" s="25">
        <v>2.339</v>
      </c>
      <c r="EM14" s="25">
        <v>7.0119999999999996</v>
      </c>
      <c r="EN14" s="25">
        <v>2.339</v>
      </c>
      <c r="EO14" s="25">
        <v>7.125</v>
      </c>
      <c r="EP14" s="25">
        <v>2.339</v>
      </c>
      <c r="EQ14" s="25">
        <v>2.339</v>
      </c>
      <c r="ER14" s="25">
        <v>46.198999999999998</v>
      </c>
      <c r="ES14" s="25">
        <v>11.753</v>
      </c>
      <c r="ET14" s="25">
        <v>2.339</v>
      </c>
      <c r="EU14" s="25">
        <v>2.339</v>
      </c>
      <c r="EV14" s="25">
        <v>2.339</v>
      </c>
      <c r="EW14" s="25"/>
    </row>
    <row r="15" spans="1:153" ht="17.25" customHeight="1" x14ac:dyDescent="0.25">
      <c r="A15" s="25" t="s">
        <v>134</v>
      </c>
      <c r="B15" s="25">
        <v>5.6050000000000004</v>
      </c>
      <c r="C15" s="25">
        <v>4.3540000000000001</v>
      </c>
      <c r="D15" s="25">
        <v>3.742</v>
      </c>
      <c r="E15" s="25">
        <v>2.355</v>
      </c>
      <c r="F15" s="25">
        <v>2.4649999999999999</v>
      </c>
      <c r="G15" s="25">
        <v>0.46</v>
      </c>
      <c r="H15" s="25">
        <v>0.29399999999999998</v>
      </c>
      <c r="I15" s="25">
        <v>1.5660000000000001</v>
      </c>
      <c r="J15" s="25">
        <v>1.8340000000000001</v>
      </c>
      <c r="K15" s="25">
        <v>2.8119999999999998</v>
      </c>
      <c r="L15" s="25">
        <v>3.7679999999999998</v>
      </c>
      <c r="M15" s="25">
        <v>3.718</v>
      </c>
      <c r="N15" s="25">
        <v>2.35</v>
      </c>
      <c r="O15" s="25">
        <v>0</v>
      </c>
      <c r="P15" s="25">
        <v>1.327</v>
      </c>
      <c r="Q15" s="25">
        <v>2.1219999999999999</v>
      </c>
      <c r="R15" s="25">
        <v>2.98</v>
      </c>
      <c r="S15" s="25">
        <v>4.2060000000000004</v>
      </c>
      <c r="T15" s="25">
        <v>4.4690000000000003</v>
      </c>
      <c r="U15" s="25">
        <v>6.7939999999999996</v>
      </c>
      <c r="V15" s="25">
        <v>5.9569999999999999</v>
      </c>
      <c r="W15" s="25">
        <v>5.23</v>
      </c>
      <c r="X15" s="25">
        <v>9.8219999999999992</v>
      </c>
      <c r="Y15" s="25">
        <v>10.385999999999999</v>
      </c>
      <c r="Z15" s="25">
        <v>11.862</v>
      </c>
      <c r="AA15" s="25">
        <v>16.582000000000001</v>
      </c>
      <c r="AB15" s="25">
        <v>18.317</v>
      </c>
      <c r="AC15" s="25">
        <v>25.2</v>
      </c>
      <c r="AD15" s="25">
        <v>9.5760000000000005</v>
      </c>
      <c r="AE15" s="25">
        <v>7.3620000000000001</v>
      </c>
      <c r="AF15" s="25">
        <v>6.1390000000000002</v>
      </c>
      <c r="AG15" s="25">
        <v>5.2320000000000002</v>
      </c>
      <c r="AH15" s="25">
        <v>4.3540000000000001</v>
      </c>
      <c r="AI15" s="25">
        <v>0</v>
      </c>
      <c r="AJ15" s="25">
        <v>0.29399999999999998</v>
      </c>
      <c r="AK15" s="25">
        <v>1.5660000000000001</v>
      </c>
      <c r="AL15" s="25">
        <v>2.1219999999999999</v>
      </c>
      <c r="AM15" s="25">
        <v>4.97</v>
      </c>
      <c r="AN15" s="25">
        <v>11.773999999999999</v>
      </c>
      <c r="AO15" s="25">
        <v>0</v>
      </c>
      <c r="AP15" s="25">
        <v>7.8979999999999997</v>
      </c>
      <c r="AQ15" s="25">
        <v>4.8360000000000003</v>
      </c>
      <c r="AR15" s="25">
        <v>0</v>
      </c>
      <c r="AS15" s="25">
        <v>0</v>
      </c>
      <c r="AT15" s="25">
        <v>0</v>
      </c>
      <c r="AU15" s="25">
        <v>4.3250000000000002</v>
      </c>
      <c r="AV15" s="25">
        <v>0</v>
      </c>
      <c r="AW15" s="25">
        <v>3.9079999999999999</v>
      </c>
      <c r="AX15" s="25">
        <v>6.532</v>
      </c>
      <c r="AY15" s="25">
        <v>0</v>
      </c>
      <c r="AZ15" s="25">
        <v>1.899</v>
      </c>
      <c r="BA15" s="25">
        <v>0</v>
      </c>
      <c r="BB15" s="25">
        <v>1.3979999999999999</v>
      </c>
      <c r="BC15" s="25">
        <v>0</v>
      </c>
      <c r="BD15" s="25">
        <v>1.323</v>
      </c>
      <c r="BE15" s="25">
        <v>0</v>
      </c>
      <c r="BF15" s="25">
        <v>38.332000000000001</v>
      </c>
      <c r="BG15" s="25">
        <v>0</v>
      </c>
      <c r="BH15" s="25">
        <v>0</v>
      </c>
      <c r="BI15" s="25">
        <v>26.510999999999999</v>
      </c>
      <c r="BJ15" s="25">
        <v>0</v>
      </c>
      <c r="BK15" s="25">
        <v>0</v>
      </c>
      <c r="BL15" s="25">
        <v>0</v>
      </c>
      <c r="BM15" s="25">
        <v>0</v>
      </c>
      <c r="BN15" s="25">
        <v>0</v>
      </c>
      <c r="BO15" s="25">
        <v>0</v>
      </c>
      <c r="BP15" s="25">
        <v>6.7750000000000004</v>
      </c>
      <c r="BQ15" s="25">
        <v>2.7160000000000002</v>
      </c>
      <c r="BR15" s="25">
        <v>0</v>
      </c>
      <c r="BS15" s="25">
        <v>0</v>
      </c>
      <c r="BT15" s="25">
        <v>0</v>
      </c>
      <c r="BU15" s="25">
        <v>8.5730000000000004</v>
      </c>
      <c r="BV15" s="25">
        <v>0</v>
      </c>
      <c r="BW15" s="25">
        <v>0</v>
      </c>
      <c r="BX15" s="25">
        <v>4.8630000000000004</v>
      </c>
      <c r="BY15" s="25">
        <v>1.661</v>
      </c>
      <c r="BZ15" s="25">
        <v>2.48</v>
      </c>
      <c r="CA15" s="25">
        <v>0</v>
      </c>
      <c r="CB15" s="25">
        <v>0</v>
      </c>
      <c r="CC15" s="25">
        <v>8.5419999999999998</v>
      </c>
      <c r="CD15" s="25">
        <v>10.385999999999999</v>
      </c>
      <c r="CE15" s="25">
        <v>0</v>
      </c>
      <c r="CF15" s="25">
        <v>18.539000000000001</v>
      </c>
      <c r="CG15" s="25">
        <v>26.599</v>
      </c>
      <c r="CH15" s="25">
        <v>0</v>
      </c>
      <c r="CI15" s="25">
        <v>0</v>
      </c>
      <c r="CJ15" s="25">
        <v>0</v>
      </c>
      <c r="CK15" s="25">
        <v>0</v>
      </c>
      <c r="CL15" s="25">
        <v>0</v>
      </c>
      <c r="CM15" s="25">
        <v>0</v>
      </c>
      <c r="CN15" s="25">
        <v>0</v>
      </c>
      <c r="CO15" s="25">
        <v>0</v>
      </c>
      <c r="CP15" s="25">
        <v>0</v>
      </c>
      <c r="CQ15" s="25">
        <v>0</v>
      </c>
      <c r="CR15" s="25">
        <v>0</v>
      </c>
      <c r="CS15" s="25">
        <v>45.210999999999999</v>
      </c>
      <c r="CT15" s="25">
        <v>0</v>
      </c>
      <c r="CU15" s="25">
        <v>0</v>
      </c>
      <c r="CV15" s="25">
        <v>3.0449999999999999</v>
      </c>
      <c r="CW15" s="25">
        <v>0</v>
      </c>
      <c r="CX15" s="25">
        <v>0</v>
      </c>
      <c r="CY15" s="25">
        <v>0</v>
      </c>
      <c r="CZ15" s="25">
        <v>7.8540000000000001</v>
      </c>
      <c r="DA15" s="25">
        <v>2.0979999999999999</v>
      </c>
      <c r="DB15" s="25">
        <v>13.99</v>
      </c>
      <c r="DC15" s="25">
        <v>13.323</v>
      </c>
      <c r="DD15" s="25">
        <v>3.762</v>
      </c>
      <c r="DE15" s="25">
        <v>16.651</v>
      </c>
      <c r="DF15" s="25">
        <v>0</v>
      </c>
      <c r="DG15" s="25">
        <v>7.407</v>
      </c>
      <c r="DH15" s="25">
        <v>36.253</v>
      </c>
      <c r="DI15" s="25">
        <v>0</v>
      </c>
      <c r="DJ15" s="25">
        <v>0</v>
      </c>
      <c r="DK15" s="25">
        <v>2.4380000000000002</v>
      </c>
      <c r="DL15" s="25">
        <v>0</v>
      </c>
      <c r="DM15" s="25">
        <v>16.651</v>
      </c>
      <c r="DN15" s="25">
        <v>0</v>
      </c>
      <c r="DO15" s="25">
        <v>0</v>
      </c>
      <c r="DP15" s="25">
        <v>0</v>
      </c>
      <c r="DQ15" s="25">
        <v>0</v>
      </c>
      <c r="DR15" s="25">
        <v>0</v>
      </c>
      <c r="DS15" s="25">
        <v>0</v>
      </c>
      <c r="DT15" s="25">
        <v>0</v>
      </c>
      <c r="DU15" s="25">
        <v>5.5010000000000003</v>
      </c>
      <c r="DV15" s="25">
        <v>0</v>
      </c>
      <c r="DW15" s="25">
        <v>8.3460000000000001</v>
      </c>
      <c r="DX15" s="25">
        <v>14.747999999999999</v>
      </c>
      <c r="DY15" s="25">
        <v>0</v>
      </c>
      <c r="DZ15" s="25">
        <v>15.013</v>
      </c>
      <c r="EA15" s="25">
        <v>0</v>
      </c>
      <c r="EB15" s="25">
        <v>7.3780000000000001</v>
      </c>
      <c r="EC15" s="25">
        <v>0</v>
      </c>
      <c r="ED15" s="25">
        <v>0</v>
      </c>
      <c r="EE15" s="25">
        <v>0</v>
      </c>
      <c r="EF15" s="25">
        <v>0</v>
      </c>
      <c r="EG15" s="25">
        <v>6.6349999999999998</v>
      </c>
      <c r="EH15" s="25">
        <v>7.3650000000000002</v>
      </c>
      <c r="EI15" s="25">
        <v>0</v>
      </c>
      <c r="EJ15" s="25">
        <v>2.1219999999999999</v>
      </c>
      <c r="EK15" s="25">
        <v>0</v>
      </c>
      <c r="EL15" s="25">
        <v>0</v>
      </c>
      <c r="EM15" s="25">
        <v>5.1740000000000004</v>
      </c>
      <c r="EN15" s="25">
        <v>0</v>
      </c>
      <c r="EO15" s="25">
        <v>5.2930000000000001</v>
      </c>
      <c r="EP15" s="25">
        <v>0</v>
      </c>
      <c r="EQ15" s="25">
        <v>0</v>
      </c>
      <c r="ER15" s="25">
        <v>44.366999999999997</v>
      </c>
      <c r="ES15" s="25">
        <v>10.365</v>
      </c>
      <c r="ET15" s="25">
        <v>0</v>
      </c>
      <c r="EU15" s="25">
        <v>0</v>
      </c>
      <c r="EV15" s="25">
        <v>0</v>
      </c>
      <c r="EW15" s="25"/>
    </row>
    <row r="16" spans="1:153" ht="17.25" customHeight="1" x14ac:dyDescent="0.25">
      <c r="A16" s="25" t="s">
        <v>135</v>
      </c>
      <c r="B16" s="25">
        <v>5.9690000000000003</v>
      </c>
      <c r="C16" s="25">
        <v>4.718</v>
      </c>
      <c r="D16" s="25">
        <v>4.1059999999999999</v>
      </c>
      <c r="E16" s="25">
        <v>2.7189999999999999</v>
      </c>
      <c r="F16" s="25">
        <v>2.8290000000000002</v>
      </c>
      <c r="G16" s="25">
        <v>0.84099999999999997</v>
      </c>
      <c r="H16" s="25">
        <v>1.5960000000000001</v>
      </c>
      <c r="I16" s="25">
        <v>2.8679999999999999</v>
      </c>
      <c r="J16" s="25">
        <v>3.1360000000000001</v>
      </c>
      <c r="K16" s="25">
        <v>3.536</v>
      </c>
      <c r="L16" s="25">
        <v>4.5739999999999998</v>
      </c>
      <c r="M16" s="25">
        <v>4.4279999999999999</v>
      </c>
      <c r="N16" s="25">
        <v>3.0339999999999998</v>
      </c>
      <c r="O16" s="25">
        <v>1.2529999999999999</v>
      </c>
      <c r="P16" s="25">
        <v>0</v>
      </c>
      <c r="Q16" s="25">
        <v>1.105</v>
      </c>
      <c r="R16" s="25">
        <v>2.1619999999999999</v>
      </c>
      <c r="S16" s="25">
        <v>3.2410000000000001</v>
      </c>
      <c r="T16" s="25">
        <v>3.504</v>
      </c>
      <c r="U16" s="25">
        <v>5.8289999999999997</v>
      </c>
      <c r="V16" s="25">
        <v>4.992</v>
      </c>
      <c r="W16" s="25">
        <v>4.2649999999999997</v>
      </c>
      <c r="X16" s="25">
        <v>12.696</v>
      </c>
      <c r="Y16" s="25">
        <v>11.007999999999999</v>
      </c>
      <c r="Z16" s="25">
        <v>12.484</v>
      </c>
      <c r="AA16" s="25">
        <v>15.617000000000001</v>
      </c>
      <c r="AB16" s="25">
        <v>17.352</v>
      </c>
      <c r="AC16" s="25">
        <v>24.234999999999999</v>
      </c>
      <c r="AD16" s="25">
        <v>12.45</v>
      </c>
      <c r="AE16" s="25">
        <v>7.726</v>
      </c>
      <c r="AF16" s="25">
        <v>9.0299999999999994</v>
      </c>
      <c r="AG16" s="25">
        <v>6.0380000000000003</v>
      </c>
      <c r="AH16" s="25">
        <v>4.718</v>
      </c>
      <c r="AI16" s="25">
        <v>1.2529999999999999</v>
      </c>
      <c r="AJ16" s="25">
        <v>1.5960000000000001</v>
      </c>
      <c r="AK16" s="25">
        <v>2.8679999999999999</v>
      </c>
      <c r="AL16" s="25">
        <v>1.105</v>
      </c>
      <c r="AM16" s="25">
        <v>5.7759999999999998</v>
      </c>
      <c r="AN16" s="25">
        <v>10.808999999999999</v>
      </c>
      <c r="AO16" s="25">
        <v>1.2529999999999999</v>
      </c>
      <c r="AP16" s="25">
        <v>7.3540000000000001</v>
      </c>
      <c r="AQ16" s="25">
        <v>5.0780000000000003</v>
      </c>
      <c r="AR16" s="25">
        <v>1.2529999999999999</v>
      </c>
      <c r="AS16" s="25">
        <v>1.2529999999999999</v>
      </c>
      <c r="AT16" s="25">
        <v>1.2529999999999999</v>
      </c>
      <c r="AU16" s="25">
        <v>4.9480000000000004</v>
      </c>
      <c r="AV16" s="25">
        <v>1.2529999999999999</v>
      </c>
      <c r="AW16" s="25">
        <v>3.0640000000000001</v>
      </c>
      <c r="AX16" s="25">
        <v>7.2080000000000002</v>
      </c>
      <c r="AY16" s="25">
        <v>1.2529999999999999</v>
      </c>
      <c r="AZ16" s="25">
        <v>3.2010000000000001</v>
      </c>
      <c r="BA16" s="25">
        <v>1.2529999999999999</v>
      </c>
      <c r="BB16" s="25">
        <v>0.374</v>
      </c>
      <c r="BC16" s="25">
        <v>1.2529999999999999</v>
      </c>
      <c r="BD16" s="25">
        <v>2.625</v>
      </c>
      <c r="BE16" s="25">
        <v>1.2529999999999999</v>
      </c>
      <c r="BF16" s="25">
        <v>37.366999999999997</v>
      </c>
      <c r="BG16" s="25">
        <v>1.2529999999999999</v>
      </c>
      <c r="BH16" s="25">
        <v>1.2529999999999999</v>
      </c>
      <c r="BI16" s="25">
        <v>25.545999999999999</v>
      </c>
      <c r="BJ16" s="25">
        <v>1.2529999999999999</v>
      </c>
      <c r="BK16" s="25">
        <v>1.2529999999999999</v>
      </c>
      <c r="BL16" s="25">
        <v>1.2529999999999999</v>
      </c>
      <c r="BM16" s="25">
        <v>1.2529999999999999</v>
      </c>
      <c r="BN16" s="25">
        <v>1.2529999999999999</v>
      </c>
      <c r="BO16" s="25">
        <v>1.2529999999999999</v>
      </c>
      <c r="BP16" s="25">
        <v>5.81</v>
      </c>
      <c r="BQ16" s="25">
        <v>3.08</v>
      </c>
      <c r="BR16" s="25">
        <v>1.2529999999999999</v>
      </c>
      <c r="BS16" s="25">
        <v>1.2529999999999999</v>
      </c>
      <c r="BT16" s="25">
        <v>1.2529999999999999</v>
      </c>
      <c r="BU16" s="25">
        <v>7.6079999999999997</v>
      </c>
      <c r="BV16" s="25">
        <v>1.2529999999999999</v>
      </c>
      <c r="BW16" s="25">
        <v>1.2529999999999999</v>
      </c>
      <c r="BX16" s="25">
        <v>4.6150000000000002</v>
      </c>
      <c r="BY16" s="25">
        <v>2.0249999999999999</v>
      </c>
      <c r="BZ16" s="25">
        <v>2.8439999999999999</v>
      </c>
      <c r="CA16" s="25">
        <v>1.2529999999999999</v>
      </c>
      <c r="CB16" s="25">
        <v>1.2529999999999999</v>
      </c>
      <c r="CC16" s="25">
        <v>9.1639999999999997</v>
      </c>
      <c r="CD16" s="25">
        <v>11.007999999999999</v>
      </c>
      <c r="CE16" s="25">
        <v>1.2529999999999999</v>
      </c>
      <c r="CF16" s="25">
        <v>17.574000000000002</v>
      </c>
      <c r="CG16" s="25">
        <v>25.634</v>
      </c>
      <c r="CH16" s="25">
        <v>1.2529999999999999</v>
      </c>
      <c r="CI16" s="25">
        <v>1.2529999999999999</v>
      </c>
      <c r="CJ16" s="25">
        <v>1.2529999999999999</v>
      </c>
      <c r="CK16" s="25">
        <v>1.2529999999999999</v>
      </c>
      <c r="CL16" s="25">
        <v>1.2529999999999999</v>
      </c>
      <c r="CM16" s="25">
        <v>1.2529999999999999</v>
      </c>
      <c r="CN16" s="25">
        <v>1.2529999999999999</v>
      </c>
      <c r="CO16" s="25">
        <v>1.2529999999999999</v>
      </c>
      <c r="CP16" s="25">
        <v>1.2529999999999999</v>
      </c>
      <c r="CQ16" s="25">
        <v>1.2529999999999999</v>
      </c>
      <c r="CR16" s="25">
        <v>1.2529999999999999</v>
      </c>
      <c r="CS16" s="25">
        <v>44.246000000000002</v>
      </c>
      <c r="CT16" s="25">
        <v>1.2529999999999999</v>
      </c>
      <c r="CU16" s="25">
        <v>1.2529999999999999</v>
      </c>
      <c r="CV16" s="25">
        <v>2.7970000000000002</v>
      </c>
      <c r="CW16" s="25">
        <v>1.2529999999999999</v>
      </c>
      <c r="CX16" s="25">
        <v>1.2529999999999999</v>
      </c>
      <c r="CY16" s="25">
        <v>1.2529999999999999</v>
      </c>
      <c r="CZ16" s="25">
        <v>6.8890000000000002</v>
      </c>
      <c r="DA16" s="25">
        <v>1.194</v>
      </c>
      <c r="DB16" s="25">
        <v>14.612</v>
      </c>
      <c r="DC16" s="25">
        <v>13.945</v>
      </c>
      <c r="DD16" s="25">
        <v>4.1260000000000003</v>
      </c>
      <c r="DE16" s="25">
        <v>19.350000000000001</v>
      </c>
      <c r="DF16" s="25">
        <v>1.2529999999999999</v>
      </c>
      <c r="DG16" s="25">
        <v>6.5629999999999997</v>
      </c>
      <c r="DH16" s="25">
        <v>35.287999999999997</v>
      </c>
      <c r="DI16" s="25">
        <v>1.2529999999999999</v>
      </c>
      <c r="DJ16" s="25">
        <v>1.2529999999999999</v>
      </c>
      <c r="DK16" s="25">
        <v>1.7549999999999999</v>
      </c>
      <c r="DL16" s="25">
        <v>1.2529999999999999</v>
      </c>
      <c r="DM16" s="25">
        <v>19.350000000000001</v>
      </c>
      <c r="DN16" s="25">
        <v>1.2529999999999999</v>
      </c>
      <c r="DO16" s="25">
        <v>1.2529999999999999</v>
      </c>
      <c r="DP16" s="25">
        <v>1.2529999999999999</v>
      </c>
      <c r="DQ16" s="25">
        <v>1.2529999999999999</v>
      </c>
      <c r="DR16" s="25">
        <v>1.2529999999999999</v>
      </c>
      <c r="DS16" s="25">
        <v>1.2529999999999999</v>
      </c>
      <c r="DT16" s="25">
        <v>1.2529999999999999</v>
      </c>
      <c r="DU16" s="25">
        <v>4.657</v>
      </c>
      <c r="DV16" s="25">
        <v>1.2529999999999999</v>
      </c>
      <c r="DW16" s="25">
        <v>11.22</v>
      </c>
      <c r="DX16" s="25">
        <v>13.782999999999999</v>
      </c>
      <c r="DY16" s="25">
        <v>1.2529999999999999</v>
      </c>
      <c r="DZ16" s="25">
        <v>14.048</v>
      </c>
      <c r="EA16" s="25">
        <v>1.2529999999999999</v>
      </c>
      <c r="EB16" s="25">
        <v>6.5339999999999998</v>
      </c>
      <c r="EC16" s="25">
        <v>1.2529999999999999</v>
      </c>
      <c r="ED16" s="25">
        <v>1.2529999999999999</v>
      </c>
      <c r="EE16" s="25">
        <v>1.2529999999999999</v>
      </c>
      <c r="EF16" s="25">
        <v>1.2529999999999999</v>
      </c>
      <c r="EG16" s="25">
        <v>5.7910000000000004</v>
      </c>
      <c r="EH16" s="25">
        <v>8.1140000000000008</v>
      </c>
      <c r="EI16" s="25">
        <v>1.2529999999999999</v>
      </c>
      <c r="EJ16" s="25">
        <v>1.105</v>
      </c>
      <c r="EK16" s="25">
        <v>1.2529999999999999</v>
      </c>
      <c r="EL16" s="25">
        <v>1.2529999999999999</v>
      </c>
      <c r="EM16" s="25">
        <v>4.2089999999999996</v>
      </c>
      <c r="EN16" s="25">
        <v>1.2529999999999999</v>
      </c>
      <c r="EO16" s="25">
        <v>4.3280000000000003</v>
      </c>
      <c r="EP16" s="25">
        <v>1.2529999999999999</v>
      </c>
      <c r="EQ16" s="25">
        <v>1.2529999999999999</v>
      </c>
      <c r="ER16" s="25">
        <v>43.402000000000001</v>
      </c>
      <c r="ES16" s="25">
        <v>13.239000000000001</v>
      </c>
      <c r="ET16" s="25">
        <v>1.2529999999999999</v>
      </c>
      <c r="EU16" s="25">
        <v>1.2529999999999999</v>
      </c>
      <c r="EV16" s="25">
        <v>1.2529999999999999</v>
      </c>
      <c r="EW16" s="25"/>
    </row>
    <row r="17" spans="1:153" ht="17.25" customHeight="1" x14ac:dyDescent="0.25">
      <c r="A17" s="25" t="s">
        <v>136</v>
      </c>
      <c r="B17" s="25">
        <v>6.8360000000000003</v>
      </c>
      <c r="C17" s="25">
        <v>5.4930000000000003</v>
      </c>
      <c r="D17" s="25">
        <v>4.8550000000000004</v>
      </c>
      <c r="E17" s="25">
        <v>3.4940000000000002</v>
      </c>
      <c r="F17" s="25">
        <v>2.8079999999999998</v>
      </c>
      <c r="G17" s="25">
        <v>1.6240000000000001</v>
      </c>
      <c r="H17" s="25">
        <v>2.1150000000000002</v>
      </c>
      <c r="I17" s="25">
        <v>3.226</v>
      </c>
      <c r="J17" s="25">
        <v>3.4369999999999998</v>
      </c>
      <c r="K17" s="25">
        <v>3.7709999999999999</v>
      </c>
      <c r="L17" s="25">
        <v>4.8090000000000002</v>
      </c>
      <c r="M17" s="25">
        <v>5.21</v>
      </c>
      <c r="N17" s="25">
        <v>3.8159999999999998</v>
      </c>
      <c r="O17" s="25">
        <v>1.82</v>
      </c>
      <c r="P17" s="25">
        <v>0.78200000000000003</v>
      </c>
      <c r="Q17" s="25">
        <v>0</v>
      </c>
      <c r="R17" s="25">
        <v>1.645</v>
      </c>
      <c r="S17" s="25">
        <v>2.7240000000000002</v>
      </c>
      <c r="T17" s="25">
        <v>2.9870000000000001</v>
      </c>
      <c r="U17" s="25">
        <v>5.3120000000000003</v>
      </c>
      <c r="V17" s="25">
        <v>4.4749999999999996</v>
      </c>
      <c r="W17" s="25">
        <v>3.7480000000000002</v>
      </c>
      <c r="X17" s="25">
        <v>12.179</v>
      </c>
      <c r="Y17" s="25">
        <v>13.933</v>
      </c>
      <c r="Z17" s="25">
        <v>15.407999999999999</v>
      </c>
      <c r="AA17" s="25">
        <v>15.1</v>
      </c>
      <c r="AB17" s="25">
        <v>16.835000000000001</v>
      </c>
      <c r="AC17" s="25">
        <v>23.718</v>
      </c>
      <c r="AD17" s="25">
        <v>11.933</v>
      </c>
      <c r="AE17" s="25">
        <v>9.5790000000000006</v>
      </c>
      <c r="AF17" s="25">
        <v>8.5129999999999999</v>
      </c>
      <c r="AG17" s="25">
        <v>8.8019999999999996</v>
      </c>
      <c r="AH17" s="25">
        <v>5.4930000000000003</v>
      </c>
      <c r="AI17" s="25">
        <v>1.82</v>
      </c>
      <c r="AJ17" s="25">
        <v>2.1150000000000002</v>
      </c>
      <c r="AK17" s="25">
        <v>3.226</v>
      </c>
      <c r="AL17" s="25">
        <v>0</v>
      </c>
      <c r="AM17" s="25">
        <v>8.6050000000000004</v>
      </c>
      <c r="AN17" s="25">
        <v>10.292</v>
      </c>
      <c r="AO17" s="25">
        <v>1.82</v>
      </c>
      <c r="AP17" s="25">
        <v>12.319000000000001</v>
      </c>
      <c r="AQ17" s="25">
        <v>4.806</v>
      </c>
      <c r="AR17" s="25">
        <v>1.82</v>
      </c>
      <c r="AS17" s="25">
        <v>1.82</v>
      </c>
      <c r="AT17" s="25">
        <v>1.82</v>
      </c>
      <c r="AU17" s="25">
        <v>5.8440000000000003</v>
      </c>
      <c r="AV17" s="25">
        <v>1.82</v>
      </c>
      <c r="AW17" s="25">
        <v>2.7919999999999998</v>
      </c>
      <c r="AX17" s="25">
        <v>7.99</v>
      </c>
      <c r="AY17" s="25">
        <v>1.82</v>
      </c>
      <c r="AZ17" s="25">
        <v>3.72</v>
      </c>
      <c r="BA17" s="25">
        <v>1.82</v>
      </c>
      <c r="BB17" s="25">
        <v>0.88500000000000001</v>
      </c>
      <c r="BC17" s="25">
        <v>1.82</v>
      </c>
      <c r="BD17" s="25">
        <v>3.1440000000000001</v>
      </c>
      <c r="BE17" s="25">
        <v>1.82</v>
      </c>
      <c r="BF17" s="25">
        <v>36.85</v>
      </c>
      <c r="BG17" s="25">
        <v>1.82</v>
      </c>
      <c r="BH17" s="25">
        <v>1.82</v>
      </c>
      <c r="BI17" s="25">
        <v>25.029</v>
      </c>
      <c r="BJ17" s="25">
        <v>1.82</v>
      </c>
      <c r="BK17" s="25">
        <v>1.82</v>
      </c>
      <c r="BL17" s="25">
        <v>1.82</v>
      </c>
      <c r="BM17" s="25">
        <v>1.82</v>
      </c>
      <c r="BN17" s="25">
        <v>1.82</v>
      </c>
      <c r="BO17" s="25">
        <v>1.82</v>
      </c>
      <c r="BP17" s="25">
        <v>5.2930000000000001</v>
      </c>
      <c r="BQ17" s="25">
        <v>2.7010000000000001</v>
      </c>
      <c r="BR17" s="25">
        <v>1.82</v>
      </c>
      <c r="BS17" s="25">
        <v>1.82</v>
      </c>
      <c r="BT17" s="25">
        <v>1.82</v>
      </c>
      <c r="BU17" s="25">
        <v>6.6740000000000004</v>
      </c>
      <c r="BV17" s="25">
        <v>1.82</v>
      </c>
      <c r="BW17" s="25">
        <v>1.82</v>
      </c>
      <c r="BX17" s="25">
        <v>4.4059999999999997</v>
      </c>
      <c r="BY17" s="25">
        <v>2.8260000000000001</v>
      </c>
      <c r="BZ17" s="25">
        <v>2.7389999999999999</v>
      </c>
      <c r="CA17" s="25">
        <v>1.82</v>
      </c>
      <c r="CB17" s="25">
        <v>1.82</v>
      </c>
      <c r="CC17" s="25">
        <v>13.028</v>
      </c>
      <c r="CD17" s="25">
        <v>13.933</v>
      </c>
      <c r="CE17" s="25">
        <v>1.82</v>
      </c>
      <c r="CF17" s="25">
        <v>17.056999999999999</v>
      </c>
      <c r="CG17" s="25">
        <v>25.117000000000001</v>
      </c>
      <c r="CH17" s="25">
        <v>1.82</v>
      </c>
      <c r="CI17" s="25">
        <v>1.82</v>
      </c>
      <c r="CJ17" s="25">
        <v>1.82</v>
      </c>
      <c r="CK17" s="25">
        <v>1.82</v>
      </c>
      <c r="CL17" s="25">
        <v>1.82</v>
      </c>
      <c r="CM17" s="25">
        <v>1.82</v>
      </c>
      <c r="CN17" s="25">
        <v>1.82</v>
      </c>
      <c r="CO17" s="25">
        <v>1.82</v>
      </c>
      <c r="CP17" s="25">
        <v>1.82</v>
      </c>
      <c r="CQ17" s="25">
        <v>1.82</v>
      </c>
      <c r="CR17" s="25">
        <v>1.82</v>
      </c>
      <c r="CS17" s="25">
        <v>43.728999999999999</v>
      </c>
      <c r="CT17" s="25">
        <v>1.82</v>
      </c>
      <c r="CU17" s="25">
        <v>1.82</v>
      </c>
      <c r="CV17" s="25">
        <v>2.4889999999999999</v>
      </c>
      <c r="CW17" s="25">
        <v>1.82</v>
      </c>
      <c r="CX17" s="25">
        <v>1.82</v>
      </c>
      <c r="CY17" s="25">
        <v>1.82</v>
      </c>
      <c r="CZ17" s="25">
        <v>5.9550000000000001</v>
      </c>
      <c r="DA17" s="25">
        <v>0.98199999999999998</v>
      </c>
      <c r="DB17" s="25">
        <v>17.536000000000001</v>
      </c>
      <c r="DC17" s="25">
        <v>16.869</v>
      </c>
      <c r="DD17" s="25">
        <v>4.9009999999999998</v>
      </c>
      <c r="DE17" s="25">
        <v>18.832999999999998</v>
      </c>
      <c r="DF17" s="25">
        <v>1.82</v>
      </c>
      <c r="DG17" s="25">
        <v>6.2910000000000004</v>
      </c>
      <c r="DH17" s="25">
        <v>34.771000000000001</v>
      </c>
      <c r="DI17" s="25">
        <v>1.82</v>
      </c>
      <c r="DJ17" s="25">
        <v>1.82</v>
      </c>
      <c r="DK17" s="25">
        <v>1.1930000000000001</v>
      </c>
      <c r="DL17" s="25">
        <v>1.82</v>
      </c>
      <c r="DM17" s="25">
        <v>18.832999999999998</v>
      </c>
      <c r="DN17" s="25">
        <v>1.82</v>
      </c>
      <c r="DO17" s="25">
        <v>1.82</v>
      </c>
      <c r="DP17" s="25">
        <v>1.82</v>
      </c>
      <c r="DQ17" s="25">
        <v>1.82</v>
      </c>
      <c r="DR17" s="25">
        <v>1.82</v>
      </c>
      <c r="DS17" s="25">
        <v>1.82</v>
      </c>
      <c r="DT17" s="25">
        <v>1.82</v>
      </c>
      <c r="DU17" s="25">
        <v>4.3849999999999998</v>
      </c>
      <c r="DV17" s="25">
        <v>1.82</v>
      </c>
      <c r="DW17" s="25">
        <v>10.702999999999999</v>
      </c>
      <c r="DX17" s="25">
        <v>13.266</v>
      </c>
      <c r="DY17" s="25">
        <v>1.82</v>
      </c>
      <c r="DZ17" s="25">
        <v>13.531000000000001</v>
      </c>
      <c r="EA17" s="25">
        <v>1.82</v>
      </c>
      <c r="EB17" s="25">
        <v>6.2619999999999996</v>
      </c>
      <c r="EC17" s="25">
        <v>1.82</v>
      </c>
      <c r="ED17" s="25">
        <v>1.82</v>
      </c>
      <c r="EE17" s="25">
        <v>1.82</v>
      </c>
      <c r="EF17" s="25">
        <v>1.82</v>
      </c>
      <c r="EG17" s="25">
        <v>5.5190000000000001</v>
      </c>
      <c r="EH17" s="25">
        <v>8.3490000000000002</v>
      </c>
      <c r="EI17" s="25">
        <v>1.82</v>
      </c>
      <c r="EJ17" s="25">
        <v>0</v>
      </c>
      <c r="EK17" s="25">
        <v>1.82</v>
      </c>
      <c r="EL17" s="25">
        <v>1.82</v>
      </c>
      <c r="EM17" s="25">
        <v>3.6920000000000002</v>
      </c>
      <c r="EN17" s="25">
        <v>1.82</v>
      </c>
      <c r="EO17" s="25">
        <v>3.3940000000000001</v>
      </c>
      <c r="EP17" s="25">
        <v>1.82</v>
      </c>
      <c r="EQ17" s="25">
        <v>1.82</v>
      </c>
      <c r="ER17" s="25">
        <v>42.884999999999998</v>
      </c>
      <c r="ES17" s="25">
        <v>12.722</v>
      </c>
      <c r="ET17" s="25">
        <v>1.82</v>
      </c>
      <c r="EU17" s="25">
        <v>1.82</v>
      </c>
      <c r="EV17" s="25">
        <v>1.82</v>
      </c>
      <c r="EW17" s="25"/>
    </row>
    <row r="18" spans="1:153" ht="17.25" customHeight="1" x14ac:dyDescent="0.25">
      <c r="A18" s="25" t="s">
        <v>137</v>
      </c>
      <c r="B18" s="25">
        <v>9.9670000000000005</v>
      </c>
      <c r="C18" s="25">
        <v>6.165</v>
      </c>
      <c r="D18" s="25">
        <v>5.5289999999999999</v>
      </c>
      <c r="E18" s="25">
        <v>4.1660000000000004</v>
      </c>
      <c r="F18" s="25">
        <v>3.4809999999999999</v>
      </c>
      <c r="G18" s="25">
        <v>2.6680000000000001</v>
      </c>
      <c r="H18" s="25">
        <v>3.16</v>
      </c>
      <c r="I18" s="25">
        <v>3.49</v>
      </c>
      <c r="J18" s="25">
        <v>3.7010000000000001</v>
      </c>
      <c r="K18" s="25">
        <v>4.0350000000000001</v>
      </c>
      <c r="L18" s="25">
        <v>5.0730000000000004</v>
      </c>
      <c r="M18" s="25">
        <v>6.2539999999999996</v>
      </c>
      <c r="N18" s="25">
        <v>4.79</v>
      </c>
      <c r="O18" s="25">
        <v>2.8650000000000002</v>
      </c>
      <c r="P18" s="25">
        <v>1.8260000000000001</v>
      </c>
      <c r="Q18" s="25">
        <v>1.044</v>
      </c>
      <c r="R18" s="25">
        <v>0</v>
      </c>
      <c r="S18" s="25">
        <v>1.2010000000000001</v>
      </c>
      <c r="T18" s="25">
        <v>1.464</v>
      </c>
      <c r="U18" s="25">
        <v>3.7879999999999998</v>
      </c>
      <c r="V18" s="25">
        <v>2.9510000000000001</v>
      </c>
      <c r="W18" s="25">
        <v>2.2240000000000002</v>
      </c>
      <c r="X18" s="25">
        <v>10.656000000000001</v>
      </c>
      <c r="Y18" s="25">
        <v>12.41</v>
      </c>
      <c r="Z18" s="25">
        <v>13.885</v>
      </c>
      <c r="AA18" s="25">
        <v>13.577</v>
      </c>
      <c r="AB18" s="25">
        <v>15.311999999999999</v>
      </c>
      <c r="AC18" s="25">
        <v>22.195</v>
      </c>
      <c r="AD18" s="25">
        <v>10.41</v>
      </c>
      <c r="AE18" s="25">
        <v>9.9390000000000001</v>
      </c>
      <c r="AF18" s="25">
        <v>6.99</v>
      </c>
      <c r="AG18" s="25">
        <v>7.2789999999999999</v>
      </c>
      <c r="AH18" s="25">
        <v>6.165</v>
      </c>
      <c r="AI18" s="25">
        <v>2.8650000000000002</v>
      </c>
      <c r="AJ18" s="25">
        <v>3.16</v>
      </c>
      <c r="AK18" s="25">
        <v>3.49</v>
      </c>
      <c r="AL18" s="25">
        <v>1.044</v>
      </c>
      <c r="AM18" s="25">
        <v>7.0819999999999999</v>
      </c>
      <c r="AN18" s="25">
        <v>8.7680000000000007</v>
      </c>
      <c r="AO18" s="25">
        <v>2.8650000000000002</v>
      </c>
      <c r="AP18" s="25">
        <v>10.795999999999999</v>
      </c>
      <c r="AQ18" s="25">
        <v>5.48</v>
      </c>
      <c r="AR18" s="25">
        <v>2.8650000000000002</v>
      </c>
      <c r="AS18" s="25">
        <v>2.8650000000000002</v>
      </c>
      <c r="AT18" s="25">
        <v>2.8650000000000002</v>
      </c>
      <c r="AU18" s="25">
        <v>6.5170000000000003</v>
      </c>
      <c r="AV18" s="25">
        <v>2.8650000000000002</v>
      </c>
      <c r="AW18" s="25">
        <v>2.1120000000000001</v>
      </c>
      <c r="AX18" s="25">
        <v>9.0340000000000007</v>
      </c>
      <c r="AY18" s="25">
        <v>2.8650000000000002</v>
      </c>
      <c r="AZ18" s="25">
        <v>4.3390000000000004</v>
      </c>
      <c r="BA18" s="25">
        <v>2.8650000000000002</v>
      </c>
      <c r="BB18" s="25">
        <v>1.929</v>
      </c>
      <c r="BC18" s="25">
        <v>2.8650000000000002</v>
      </c>
      <c r="BD18" s="25">
        <v>3.7629999999999999</v>
      </c>
      <c r="BE18" s="25">
        <v>2.8650000000000002</v>
      </c>
      <c r="BF18" s="25">
        <v>35.326999999999998</v>
      </c>
      <c r="BG18" s="25">
        <v>2.8650000000000002</v>
      </c>
      <c r="BH18" s="25">
        <v>2.8650000000000002</v>
      </c>
      <c r="BI18" s="25">
        <v>23.506</v>
      </c>
      <c r="BJ18" s="25">
        <v>2.8650000000000002</v>
      </c>
      <c r="BK18" s="25">
        <v>2.8650000000000002</v>
      </c>
      <c r="BL18" s="25">
        <v>2.8650000000000002</v>
      </c>
      <c r="BM18" s="25">
        <v>2.8650000000000002</v>
      </c>
      <c r="BN18" s="25">
        <v>2.8650000000000002</v>
      </c>
      <c r="BO18" s="25">
        <v>2.8650000000000002</v>
      </c>
      <c r="BP18" s="25">
        <v>3.7690000000000001</v>
      </c>
      <c r="BQ18" s="25">
        <v>3.3740000000000001</v>
      </c>
      <c r="BR18" s="25">
        <v>2.8650000000000002</v>
      </c>
      <c r="BS18" s="25">
        <v>2.8650000000000002</v>
      </c>
      <c r="BT18" s="25">
        <v>2.8650000000000002</v>
      </c>
      <c r="BU18" s="25">
        <v>5.5679999999999996</v>
      </c>
      <c r="BV18" s="25">
        <v>2.8650000000000002</v>
      </c>
      <c r="BW18" s="25">
        <v>2.8650000000000002</v>
      </c>
      <c r="BX18" s="25">
        <v>3.6230000000000002</v>
      </c>
      <c r="BY18" s="25">
        <v>3.4980000000000002</v>
      </c>
      <c r="BZ18" s="25">
        <v>3.4119999999999999</v>
      </c>
      <c r="CA18" s="25">
        <v>2.8650000000000002</v>
      </c>
      <c r="CB18" s="25">
        <v>2.8650000000000002</v>
      </c>
      <c r="CC18" s="25">
        <v>11.505000000000001</v>
      </c>
      <c r="CD18" s="25">
        <v>12.41</v>
      </c>
      <c r="CE18" s="25">
        <v>2.8650000000000002</v>
      </c>
      <c r="CF18" s="25">
        <v>15.534000000000001</v>
      </c>
      <c r="CG18" s="25">
        <v>23.594000000000001</v>
      </c>
      <c r="CH18" s="25">
        <v>2.8650000000000002</v>
      </c>
      <c r="CI18" s="25">
        <v>2.8650000000000002</v>
      </c>
      <c r="CJ18" s="25">
        <v>2.8650000000000002</v>
      </c>
      <c r="CK18" s="25">
        <v>2.8650000000000002</v>
      </c>
      <c r="CL18" s="25">
        <v>2.8650000000000002</v>
      </c>
      <c r="CM18" s="25">
        <v>2.8650000000000002</v>
      </c>
      <c r="CN18" s="25">
        <v>2.8650000000000002</v>
      </c>
      <c r="CO18" s="25">
        <v>2.8650000000000002</v>
      </c>
      <c r="CP18" s="25">
        <v>2.8650000000000002</v>
      </c>
      <c r="CQ18" s="25">
        <v>2.8650000000000002</v>
      </c>
      <c r="CR18" s="25">
        <v>2.8650000000000002</v>
      </c>
      <c r="CS18" s="25">
        <v>42.206000000000003</v>
      </c>
      <c r="CT18" s="25">
        <v>2.8650000000000002</v>
      </c>
      <c r="CU18" s="25">
        <v>2.8650000000000002</v>
      </c>
      <c r="CV18" s="25">
        <v>2.7309999999999999</v>
      </c>
      <c r="CW18" s="25">
        <v>2.8650000000000002</v>
      </c>
      <c r="CX18" s="25">
        <v>2.8650000000000002</v>
      </c>
      <c r="CY18" s="25">
        <v>2.8650000000000002</v>
      </c>
      <c r="CZ18" s="25">
        <v>4.8490000000000002</v>
      </c>
      <c r="DA18" s="25">
        <v>2.0259999999999998</v>
      </c>
      <c r="DB18" s="25">
        <v>16.013000000000002</v>
      </c>
      <c r="DC18" s="25">
        <v>15.346</v>
      </c>
      <c r="DD18" s="25">
        <v>5.5730000000000004</v>
      </c>
      <c r="DE18" s="25">
        <v>17.309999999999999</v>
      </c>
      <c r="DF18" s="25">
        <v>2.8650000000000002</v>
      </c>
      <c r="DG18" s="25">
        <v>7.7110000000000003</v>
      </c>
      <c r="DH18" s="25">
        <v>33.247999999999998</v>
      </c>
      <c r="DI18" s="25">
        <v>2.8650000000000002</v>
      </c>
      <c r="DJ18" s="25">
        <v>2.8650000000000002</v>
      </c>
      <c r="DK18" s="25">
        <v>1.468</v>
      </c>
      <c r="DL18" s="25">
        <v>2.8650000000000002</v>
      </c>
      <c r="DM18" s="25">
        <v>17.309999999999999</v>
      </c>
      <c r="DN18" s="25">
        <v>2.8650000000000002</v>
      </c>
      <c r="DO18" s="25">
        <v>2.8650000000000002</v>
      </c>
      <c r="DP18" s="25">
        <v>2.8650000000000002</v>
      </c>
      <c r="DQ18" s="25">
        <v>2.8650000000000002</v>
      </c>
      <c r="DR18" s="25">
        <v>2.8650000000000002</v>
      </c>
      <c r="DS18" s="25">
        <v>2.8650000000000002</v>
      </c>
      <c r="DT18" s="25">
        <v>2.8650000000000002</v>
      </c>
      <c r="DU18" s="25">
        <v>5.0590000000000002</v>
      </c>
      <c r="DV18" s="25">
        <v>2.8650000000000002</v>
      </c>
      <c r="DW18" s="25">
        <v>9.18</v>
      </c>
      <c r="DX18" s="25">
        <v>11.743</v>
      </c>
      <c r="DY18" s="25">
        <v>2.8650000000000002</v>
      </c>
      <c r="DZ18" s="25">
        <v>12.007999999999999</v>
      </c>
      <c r="EA18" s="25">
        <v>2.8650000000000002</v>
      </c>
      <c r="EB18" s="25">
        <v>7.6820000000000004</v>
      </c>
      <c r="EC18" s="25">
        <v>2.8650000000000002</v>
      </c>
      <c r="ED18" s="25">
        <v>2.8650000000000002</v>
      </c>
      <c r="EE18" s="25">
        <v>2.8650000000000002</v>
      </c>
      <c r="EF18" s="25">
        <v>2.8650000000000002</v>
      </c>
      <c r="EG18" s="25">
        <v>8.5239999999999991</v>
      </c>
      <c r="EH18" s="25">
        <v>8.1929999999999996</v>
      </c>
      <c r="EI18" s="25">
        <v>2.8650000000000002</v>
      </c>
      <c r="EJ18" s="25">
        <v>1.044</v>
      </c>
      <c r="EK18" s="25">
        <v>2.8650000000000002</v>
      </c>
      <c r="EL18" s="25">
        <v>2.8650000000000002</v>
      </c>
      <c r="EM18" s="25">
        <v>2.169</v>
      </c>
      <c r="EN18" s="25">
        <v>2.8650000000000002</v>
      </c>
      <c r="EO18" s="25">
        <v>2.2879999999999998</v>
      </c>
      <c r="EP18" s="25">
        <v>2.8650000000000002</v>
      </c>
      <c r="EQ18" s="25">
        <v>2.8650000000000002</v>
      </c>
      <c r="ER18" s="25">
        <v>41.362000000000002</v>
      </c>
      <c r="ES18" s="25">
        <v>11.199</v>
      </c>
      <c r="ET18" s="25">
        <v>2.8650000000000002</v>
      </c>
      <c r="EU18" s="25">
        <v>2.8650000000000002</v>
      </c>
      <c r="EV18" s="25">
        <v>2.8650000000000002</v>
      </c>
      <c r="EW18" s="25"/>
    </row>
    <row r="19" spans="1:153" ht="17.25" customHeight="1" x14ac:dyDescent="0.25">
      <c r="A19" s="25" t="s">
        <v>138</v>
      </c>
      <c r="B19" s="25">
        <v>9.7140000000000004</v>
      </c>
      <c r="C19" s="25">
        <v>6.9109999999999996</v>
      </c>
      <c r="D19" s="25">
        <v>6.2750000000000004</v>
      </c>
      <c r="E19" s="25">
        <v>4.9119999999999999</v>
      </c>
      <c r="F19" s="25">
        <v>4.2270000000000003</v>
      </c>
      <c r="G19" s="25">
        <v>3.4140000000000001</v>
      </c>
      <c r="H19" s="25">
        <v>3.9060000000000001</v>
      </c>
      <c r="I19" s="25">
        <v>3.9460000000000002</v>
      </c>
      <c r="J19" s="25">
        <v>4.157</v>
      </c>
      <c r="K19" s="25">
        <v>4.4909999999999997</v>
      </c>
      <c r="L19" s="25">
        <v>8.43</v>
      </c>
      <c r="M19" s="25">
        <v>7</v>
      </c>
      <c r="N19" s="25">
        <v>5.5359999999999996</v>
      </c>
      <c r="O19" s="25">
        <v>3.6110000000000002</v>
      </c>
      <c r="P19" s="25">
        <v>2.5720000000000001</v>
      </c>
      <c r="Q19" s="25">
        <v>1.79</v>
      </c>
      <c r="R19" s="25">
        <v>0.753</v>
      </c>
      <c r="S19" s="25">
        <v>0</v>
      </c>
      <c r="T19" s="25">
        <v>1.2110000000000001</v>
      </c>
      <c r="U19" s="25">
        <v>3.536</v>
      </c>
      <c r="V19" s="25">
        <v>2.6989999999999998</v>
      </c>
      <c r="W19" s="25">
        <v>1.972</v>
      </c>
      <c r="X19" s="25">
        <v>10.403</v>
      </c>
      <c r="Y19" s="25">
        <v>12.157</v>
      </c>
      <c r="Z19" s="25">
        <v>13.632</v>
      </c>
      <c r="AA19" s="25">
        <v>13.324</v>
      </c>
      <c r="AB19" s="25">
        <v>15.058999999999999</v>
      </c>
      <c r="AC19" s="25">
        <v>21.942</v>
      </c>
      <c r="AD19" s="25">
        <v>10.157</v>
      </c>
      <c r="AE19" s="25">
        <v>9.6859999999999999</v>
      </c>
      <c r="AF19" s="25">
        <v>6.7370000000000001</v>
      </c>
      <c r="AG19" s="25">
        <v>7.0259999999999998</v>
      </c>
      <c r="AH19" s="25">
        <v>6.9109999999999996</v>
      </c>
      <c r="AI19" s="25">
        <v>3.6110000000000002</v>
      </c>
      <c r="AJ19" s="25">
        <v>3.9060000000000001</v>
      </c>
      <c r="AK19" s="25">
        <v>3.9460000000000002</v>
      </c>
      <c r="AL19" s="25">
        <v>1.79</v>
      </c>
      <c r="AM19" s="25">
        <v>6.8289999999999997</v>
      </c>
      <c r="AN19" s="25">
        <v>8.516</v>
      </c>
      <c r="AO19" s="25">
        <v>3.6110000000000002</v>
      </c>
      <c r="AP19" s="25">
        <v>10.542999999999999</v>
      </c>
      <c r="AQ19" s="25">
        <v>6.226</v>
      </c>
      <c r="AR19" s="25">
        <v>3.6110000000000002</v>
      </c>
      <c r="AS19" s="25">
        <v>3.6110000000000002</v>
      </c>
      <c r="AT19" s="25">
        <v>3.6110000000000002</v>
      </c>
      <c r="AU19" s="25">
        <v>7.2629999999999999</v>
      </c>
      <c r="AV19" s="25">
        <v>3.6110000000000002</v>
      </c>
      <c r="AW19" s="25">
        <v>3.2130000000000001</v>
      </c>
      <c r="AX19" s="25">
        <v>9.7799999999999994</v>
      </c>
      <c r="AY19" s="25">
        <v>3.6110000000000002</v>
      </c>
      <c r="AZ19" s="25">
        <v>5.085</v>
      </c>
      <c r="BA19" s="25">
        <v>3.6110000000000002</v>
      </c>
      <c r="BB19" s="25">
        <v>2.6749999999999998</v>
      </c>
      <c r="BC19" s="25">
        <v>3.6110000000000002</v>
      </c>
      <c r="BD19" s="25">
        <v>4.5090000000000003</v>
      </c>
      <c r="BE19" s="25">
        <v>3.6110000000000002</v>
      </c>
      <c r="BF19" s="25">
        <v>35.073999999999998</v>
      </c>
      <c r="BG19" s="25">
        <v>3.6110000000000002</v>
      </c>
      <c r="BH19" s="25">
        <v>3.6110000000000002</v>
      </c>
      <c r="BI19" s="25">
        <v>23.253</v>
      </c>
      <c r="BJ19" s="25">
        <v>3.6110000000000002</v>
      </c>
      <c r="BK19" s="25">
        <v>3.6110000000000002</v>
      </c>
      <c r="BL19" s="25">
        <v>3.6110000000000002</v>
      </c>
      <c r="BM19" s="25">
        <v>3.6110000000000002</v>
      </c>
      <c r="BN19" s="25">
        <v>3.6110000000000002</v>
      </c>
      <c r="BO19" s="25">
        <v>3.6110000000000002</v>
      </c>
      <c r="BP19" s="25">
        <v>3.37</v>
      </c>
      <c r="BQ19" s="25">
        <v>4.12</v>
      </c>
      <c r="BR19" s="25">
        <v>3.6110000000000002</v>
      </c>
      <c r="BS19" s="25">
        <v>3.6110000000000002</v>
      </c>
      <c r="BT19" s="25">
        <v>3.6110000000000002</v>
      </c>
      <c r="BU19" s="25">
        <v>5.1920000000000002</v>
      </c>
      <c r="BV19" s="25">
        <v>3.6110000000000002</v>
      </c>
      <c r="BW19" s="25">
        <v>3.6110000000000002</v>
      </c>
      <c r="BX19" s="25">
        <v>5.05</v>
      </c>
      <c r="BY19" s="25">
        <v>4.2439999999999998</v>
      </c>
      <c r="BZ19" s="25">
        <v>4.1580000000000004</v>
      </c>
      <c r="CA19" s="25">
        <v>3.6110000000000002</v>
      </c>
      <c r="CB19" s="25">
        <v>3.6110000000000002</v>
      </c>
      <c r="CC19" s="25">
        <v>11.252000000000001</v>
      </c>
      <c r="CD19" s="25">
        <v>12.157</v>
      </c>
      <c r="CE19" s="25">
        <v>3.6110000000000002</v>
      </c>
      <c r="CF19" s="25">
        <v>15.281000000000001</v>
      </c>
      <c r="CG19" s="25">
        <v>23.341000000000001</v>
      </c>
      <c r="CH19" s="25">
        <v>3.6110000000000002</v>
      </c>
      <c r="CI19" s="25">
        <v>3.6110000000000002</v>
      </c>
      <c r="CJ19" s="25">
        <v>3.6110000000000002</v>
      </c>
      <c r="CK19" s="25">
        <v>3.6110000000000002</v>
      </c>
      <c r="CL19" s="25">
        <v>3.6110000000000002</v>
      </c>
      <c r="CM19" s="25">
        <v>3.6110000000000002</v>
      </c>
      <c r="CN19" s="25">
        <v>3.6110000000000002</v>
      </c>
      <c r="CO19" s="25">
        <v>3.6110000000000002</v>
      </c>
      <c r="CP19" s="25">
        <v>3.6110000000000002</v>
      </c>
      <c r="CQ19" s="25">
        <v>3.6110000000000002</v>
      </c>
      <c r="CR19" s="25">
        <v>3.6110000000000002</v>
      </c>
      <c r="CS19" s="25">
        <v>41.953000000000003</v>
      </c>
      <c r="CT19" s="25">
        <v>3.6110000000000002</v>
      </c>
      <c r="CU19" s="25">
        <v>3.6110000000000002</v>
      </c>
      <c r="CV19" s="25">
        <v>3.1859999999999999</v>
      </c>
      <c r="CW19" s="25">
        <v>3.6110000000000002</v>
      </c>
      <c r="CX19" s="25">
        <v>3.6110000000000002</v>
      </c>
      <c r="CY19" s="25">
        <v>3.6110000000000002</v>
      </c>
      <c r="CZ19" s="25">
        <v>4.4729999999999999</v>
      </c>
      <c r="DA19" s="25">
        <v>2.7719999999999998</v>
      </c>
      <c r="DB19" s="25">
        <v>15.76</v>
      </c>
      <c r="DC19" s="25">
        <v>15.093</v>
      </c>
      <c r="DD19" s="25">
        <v>6.319</v>
      </c>
      <c r="DE19" s="25">
        <v>17.056999999999999</v>
      </c>
      <c r="DF19" s="25">
        <v>3.6110000000000002</v>
      </c>
      <c r="DG19" s="25">
        <v>7.4580000000000002</v>
      </c>
      <c r="DH19" s="25">
        <v>32.994999999999997</v>
      </c>
      <c r="DI19" s="25">
        <v>3.6110000000000002</v>
      </c>
      <c r="DJ19" s="25">
        <v>3.6110000000000002</v>
      </c>
      <c r="DK19" s="25">
        <v>1.944</v>
      </c>
      <c r="DL19" s="25">
        <v>3.6110000000000002</v>
      </c>
      <c r="DM19" s="25">
        <v>17.056999999999999</v>
      </c>
      <c r="DN19" s="25">
        <v>3.6110000000000002</v>
      </c>
      <c r="DO19" s="25">
        <v>3.6110000000000002</v>
      </c>
      <c r="DP19" s="25">
        <v>3.6110000000000002</v>
      </c>
      <c r="DQ19" s="25">
        <v>3.6110000000000002</v>
      </c>
      <c r="DR19" s="25">
        <v>3.6110000000000002</v>
      </c>
      <c r="DS19" s="25">
        <v>3.6110000000000002</v>
      </c>
      <c r="DT19" s="25">
        <v>3.6110000000000002</v>
      </c>
      <c r="DU19" s="25">
        <v>5.8049999999999997</v>
      </c>
      <c r="DV19" s="25">
        <v>3.6110000000000002</v>
      </c>
      <c r="DW19" s="25">
        <v>8.9269999999999996</v>
      </c>
      <c r="DX19" s="25">
        <v>11.49</v>
      </c>
      <c r="DY19" s="25">
        <v>3.6110000000000002</v>
      </c>
      <c r="DZ19" s="25">
        <v>11.755000000000001</v>
      </c>
      <c r="EA19" s="25">
        <v>3.6110000000000002</v>
      </c>
      <c r="EB19" s="25">
        <v>7.4290000000000003</v>
      </c>
      <c r="EC19" s="25">
        <v>3.6110000000000002</v>
      </c>
      <c r="ED19" s="25">
        <v>3.6110000000000002</v>
      </c>
      <c r="EE19" s="25">
        <v>3.6110000000000002</v>
      </c>
      <c r="EF19" s="25">
        <v>3.6110000000000002</v>
      </c>
      <c r="EG19" s="25">
        <v>8.2710000000000008</v>
      </c>
      <c r="EH19" s="25">
        <v>11.895</v>
      </c>
      <c r="EI19" s="25">
        <v>3.6110000000000002</v>
      </c>
      <c r="EJ19" s="25">
        <v>1.79</v>
      </c>
      <c r="EK19" s="25">
        <v>3.6110000000000002</v>
      </c>
      <c r="EL19" s="25">
        <v>3.6110000000000002</v>
      </c>
      <c r="EM19" s="25">
        <v>1.9159999999999999</v>
      </c>
      <c r="EN19" s="25">
        <v>3.6110000000000002</v>
      </c>
      <c r="EO19" s="25">
        <v>1.9119999999999999</v>
      </c>
      <c r="EP19" s="25">
        <v>3.6110000000000002</v>
      </c>
      <c r="EQ19" s="25">
        <v>3.6110000000000002</v>
      </c>
      <c r="ER19" s="25">
        <v>41.109000000000002</v>
      </c>
      <c r="ES19" s="25">
        <v>10.946</v>
      </c>
      <c r="ET19" s="25">
        <v>3.6110000000000002</v>
      </c>
      <c r="EU19" s="25">
        <v>3.6110000000000002</v>
      </c>
      <c r="EV19" s="25">
        <v>3.6110000000000002</v>
      </c>
      <c r="EW19" s="25"/>
    </row>
    <row r="20" spans="1:153" ht="17.25" customHeight="1" x14ac:dyDescent="0.25">
      <c r="A20" s="25" t="s">
        <v>139</v>
      </c>
      <c r="B20" s="25">
        <v>9.7550000000000008</v>
      </c>
      <c r="C20" s="25">
        <v>10.702</v>
      </c>
      <c r="D20" s="25">
        <v>7.07</v>
      </c>
      <c r="E20" s="25">
        <v>6.0140000000000002</v>
      </c>
      <c r="F20" s="25">
        <v>5.3289999999999997</v>
      </c>
      <c r="G20" s="25">
        <v>4.5060000000000002</v>
      </c>
      <c r="H20" s="25">
        <v>5.4320000000000004</v>
      </c>
      <c r="I20" s="25">
        <v>4.0869999999999997</v>
      </c>
      <c r="J20" s="25">
        <v>4.298</v>
      </c>
      <c r="K20" s="25">
        <v>4.6319999999999997</v>
      </c>
      <c r="L20" s="25">
        <v>5.67</v>
      </c>
      <c r="M20" s="25">
        <v>8.0920000000000005</v>
      </c>
      <c r="N20" s="25">
        <v>7.0590000000000002</v>
      </c>
      <c r="O20" s="25">
        <v>5.1379999999999999</v>
      </c>
      <c r="P20" s="25">
        <v>3.6640000000000001</v>
      </c>
      <c r="Q20" s="25">
        <v>2.8820000000000001</v>
      </c>
      <c r="R20" s="25">
        <v>1.8460000000000001</v>
      </c>
      <c r="S20" s="25">
        <v>1.093</v>
      </c>
      <c r="T20" s="25">
        <v>0</v>
      </c>
      <c r="U20" s="25">
        <v>2.3250000000000002</v>
      </c>
      <c r="V20" s="25">
        <v>1.488</v>
      </c>
      <c r="W20" s="25">
        <v>0.76100000000000001</v>
      </c>
      <c r="X20" s="25">
        <v>11.14</v>
      </c>
      <c r="Y20" s="25">
        <v>12.198</v>
      </c>
      <c r="Z20" s="25">
        <v>13.673</v>
      </c>
      <c r="AA20" s="25">
        <v>13.365</v>
      </c>
      <c r="AB20" s="25">
        <v>15.1</v>
      </c>
      <c r="AC20" s="25">
        <v>21.983000000000001</v>
      </c>
      <c r="AD20" s="25">
        <v>10.894</v>
      </c>
      <c r="AE20" s="25">
        <v>9.7270000000000003</v>
      </c>
      <c r="AF20" s="25">
        <v>7.4740000000000002</v>
      </c>
      <c r="AG20" s="25">
        <v>7.7629999999999999</v>
      </c>
      <c r="AH20" s="25">
        <v>10.702</v>
      </c>
      <c r="AI20" s="25">
        <v>5.1379999999999999</v>
      </c>
      <c r="AJ20" s="25">
        <v>5.4320000000000004</v>
      </c>
      <c r="AK20" s="25">
        <v>4.0869999999999997</v>
      </c>
      <c r="AL20" s="25">
        <v>2.8820000000000001</v>
      </c>
      <c r="AM20" s="25">
        <v>7.5659999999999998</v>
      </c>
      <c r="AN20" s="25">
        <v>7.3049999999999997</v>
      </c>
      <c r="AO20" s="25">
        <v>5.1379999999999999</v>
      </c>
      <c r="AP20" s="25">
        <v>10.584</v>
      </c>
      <c r="AQ20" s="25">
        <v>10.273999999999999</v>
      </c>
      <c r="AR20" s="25">
        <v>5.1379999999999999</v>
      </c>
      <c r="AS20" s="25">
        <v>5.1379999999999999</v>
      </c>
      <c r="AT20" s="25">
        <v>5.1379999999999999</v>
      </c>
      <c r="AU20" s="25">
        <v>8.3650000000000002</v>
      </c>
      <c r="AV20" s="25">
        <v>5.1379999999999999</v>
      </c>
      <c r="AW20" s="25">
        <v>3.5369999999999999</v>
      </c>
      <c r="AX20" s="25">
        <v>10.872</v>
      </c>
      <c r="AY20" s="25">
        <v>5.1379999999999999</v>
      </c>
      <c r="AZ20" s="25">
        <v>6.6079999999999997</v>
      </c>
      <c r="BA20" s="25">
        <v>5.1379999999999999</v>
      </c>
      <c r="BB20" s="25">
        <v>3.7669999999999999</v>
      </c>
      <c r="BC20" s="25">
        <v>5.1379999999999999</v>
      </c>
      <c r="BD20" s="25">
        <v>6.032</v>
      </c>
      <c r="BE20" s="25">
        <v>5.1379999999999999</v>
      </c>
      <c r="BF20" s="25">
        <v>35.115000000000002</v>
      </c>
      <c r="BG20" s="25">
        <v>5.1379999999999999</v>
      </c>
      <c r="BH20" s="25">
        <v>5.1379999999999999</v>
      </c>
      <c r="BI20" s="25">
        <v>23.294</v>
      </c>
      <c r="BJ20" s="25">
        <v>5.1379999999999999</v>
      </c>
      <c r="BK20" s="25">
        <v>5.1379999999999999</v>
      </c>
      <c r="BL20" s="25">
        <v>5.1379999999999999</v>
      </c>
      <c r="BM20" s="25">
        <v>5.1379999999999999</v>
      </c>
      <c r="BN20" s="25">
        <v>5.1379999999999999</v>
      </c>
      <c r="BO20" s="25">
        <v>5.1379999999999999</v>
      </c>
      <c r="BP20" s="25">
        <v>2.306</v>
      </c>
      <c r="BQ20" s="25">
        <v>5.2220000000000004</v>
      </c>
      <c r="BR20" s="25">
        <v>5.1379999999999999</v>
      </c>
      <c r="BS20" s="25">
        <v>5.1379999999999999</v>
      </c>
      <c r="BT20" s="25">
        <v>5.1379999999999999</v>
      </c>
      <c r="BU20" s="25">
        <v>4.5110000000000001</v>
      </c>
      <c r="BV20" s="25">
        <v>5.1379999999999999</v>
      </c>
      <c r="BW20" s="25">
        <v>5.1379999999999999</v>
      </c>
      <c r="BX20" s="25">
        <v>4.22</v>
      </c>
      <c r="BY20" s="25">
        <v>5.3470000000000004</v>
      </c>
      <c r="BZ20" s="25">
        <v>5.26</v>
      </c>
      <c r="CA20" s="25">
        <v>5.1379999999999999</v>
      </c>
      <c r="CB20" s="25">
        <v>5.1379999999999999</v>
      </c>
      <c r="CC20" s="25">
        <v>11.292999999999999</v>
      </c>
      <c r="CD20" s="25">
        <v>12.198</v>
      </c>
      <c r="CE20" s="25">
        <v>5.1379999999999999</v>
      </c>
      <c r="CF20" s="25">
        <v>15.321999999999999</v>
      </c>
      <c r="CG20" s="25">
        <v>23.382000000000001</v>
      </c>
      <c r="CH20" s="25">
        <v>5.1379999999999999</v>
      </c>
      <c r="CI20" s="25">
        <v>5.1379999999999999</v>
      </c>
      <c r="CJ20" s="25">
        <v>5.1379999999999999</v>
      </c>
      <c r="CK20" s="25">
        <v>5.1379999999999999</v>
      </c>
      <c r="CL20" s="25">
        <v>5.1379999999999999</v>
      </c>
      <c r="CM20" s="25">
        <v>5.1379999999999999</v>
      </c>
      <c r="CN20" s="25">
        <v>5.1379999999999999</v>
      </c>
      <c r="CO20" s="25">
        <v>5.1379999999999999</v>
      </c>
      <c r="CP20" s="25">
        <v>5.1379999999999999</v>
      </c>
      <c r="CQ20" s="25">
        <v>5.1379999999999999</v>
      </c>
      <c r="CR20" s="25">
        <v>5.1379999999999999</v>
      </c>
      <c r="CS20" s="25">
        <v>41.994</v>
      </c>
      <c r="CT20" s="25">
        <v>5.1379999999999999</v>
      </c>
      <c r="CU20" s="25">
        <v>5.1379999999999999</v>
      </c>
      <c r="CV20" s="25">
        <v>3.327</v>
      </c>
      <c r="CW20" s="25">
        <v>5.1379999999999999</v>
      </c>
      <c r="CX20" s="25">
        <v>5.1379999999999999</v>
      </c>
      <c r="CY20" s="25">
        <v>5.1379999999999999</v>
      </c>
      <c r="CZ20" s="25">
        <v>3.7919999999999998</v>
      </c>
      <c r="DA20" s="25">
        <v>3.8639999999999999</v>
      </c>
      <c r="DB20" s="25">
        <v>15.801</v>
      </c>
      <c r="DC20" s="25">
        <v>15.134</v>
      </c>
      <c r="DD20" s="25">
        <v>7.2569999999999997</v>
      </c>
      <c r="DE20" s="25">
        <v>16.925000000000001</v>
      </c>
      <c r="DF20" s="25">
        <v>5.1379999999999999</v>
      </c>
      <c r="DG20" s="25">
        <v>7.4989999999999997</v>
      </c>
      <c r="DH20" s="25">
        <v>33.036000000000001</v>
      </c>
      <c r="DI20" s="25">
        <v>5.1379999999999999</v>
      </c>
      <c r="DJ20" s="25">
        <v>5.1379999999999999</v>
      </c>
      <c r="DK20" s="25">
        <v>2.8439999999999999</v>
      </c>
      <c r="DL20" s="25">
        <v>5.1379999999999999</v>
      </c>
      <c r="DM20" s="25">
        <v>16.925000000000001</v>
      </c>
      <c r="DN20" s="25">
        <v>5.1379999999999999</v>
      </c>
      <c r="DO20" s="25">
        <v>5.1379999999999999</v>
      </c>
      <c r="DP20" s="25">
        <v>5.1379999999999999</v>
      </c>
      <c r="DQ20" s="25">
        <v>5.1379999999999999</v>
      </c>
      <c r="DR20" s="25">
        <v>5.1379999999999999</v>
      </c>
      <c r="DS20" s="25">
        <v>5.1379999999999999</v>
      </c>
      <c r="DT20" s="25">
        <v>5.1379999999999999</v>
      </c>
      <c r="DU20" s="25">
        <v>9.7569999999999997</v>
      </c>
      <c r="DV20" s="25">
        <v>5.1379999999999999</v>
      </c>
      <c r="DW20" s="25">
        <v>9.6639999999999997</v>
      </c>
      <c r="DX20" s="25">
        <v>7.8179999999999996</v>
      </c>
      <c r="DY20" s="25">
        <v>5.1379999999999999</v>
      </c>
      <c r="DZ20" s="25">
        <v>8.1869999999999994</v>
      </c>
      <c r="EA20" s="25">
        <v>5.1379999999999999</v>
      </c>
      <c r="EB20" s="25">
        <v>7.47</v>
      </c>
      <c r="EC20" s="25">
        <v>5.1379999999999999</v>
      </c>
      <c r="ED20" s="25">
        <v>5.1379999999999999</v>
      </c>
      <c r="EE20" s="25">
        <v>5.1379999999999999</v>
      </c>
      <c r="EF20" s="25">
        <v>5.1379999999999999</v>
      </c>
      <c r="EG20" s="25">
        <v>8.3119999999999994</v>
      </c>
      <c r="EH20" s="25">
        <v>8.7899999999999991</v>
      </c>
      <c r="EI20" s="25">
        <v>5.1379999999999999</v>
      </c>
      <c r="EJ20" s="25">
        <v>2.8820000000000001</v>
      </c>
      <c r="EK20" s="25">
        <v>5.1379999999999999</v>
      </c>
      <c r="EL20" s="25">
        <v>5.1379999999999999</v>
      </c>
      <c r="EM20" s="25">
        <v>1.611</v>
      </c>
      <c r="EN20" s="25">
        <v>5.1379999999999999</v>
      </c>
      <c r="EO20" s="25">
        <v>0.97299999999999998</v>
      </c>
      <c r="EP20" s="25">
        <v>5.1379999999999999</v>
      </c>
      <c r="EQ20" s="25">
        <v>5.1379999999999999</v>
      </c>
      <c r="ER20" s="25">
        <v>41.15</v>
      </c>
      <c r="ES20" s="25">
        <v>11.683</v>
      </c>
      <c r="ET20" s="25">
        <v>5.1379999999999999</v>
      </c>
      <c r="EU20" s="25">
        <v>5.1379999999999999</v>
      </c>
      <c r="EV20" s="25">
        <v>5.1379999999999999</v>
      </c>
      <c r="EW20" s="25"/>
    </row>
    <row r="21" spans="1:153" ht="17.25" customHeight="1" x14ac:dyDescent="0.25">
      <c r="A21" s="25" t="s">
        <v>140</v>
      </c>
      <c r="B21" s="25">
        <v>11.387</v>
      </c>
      <c r="C21" s="25">
        <v>12.334</v>
      </c>
      <c r="D21" s="25">
        <v>8.734</v>
      </c>
      <c r="E21" s="25">
        <v>7.6790000000000003</v>
      </c>
      <c r="F21" s="25">
        <v>6.9939999999999998</v>
      </c>
      <c r="G21" s="25">
        <v>6.44</v>
      </c>
      <c r="H21" s="25">
        <v>7.133</v>
      </c>
      <c r="I21" s="25">
        <v>6.2969999999999997</v>
      </c>
      <c r="J21" s="25">
        <v>9.9329999999999998</v>
      </c>
      <c r="K21" s="25">
        <v>9.1340000000000003</v>
      </c>
      <c r="L21" s="25">
        <v>8.3689999999999998</v>
      </c>
      <c r="M21" s="25">
        <v>10.218999999999999</v>
      </c>
      <c r="N21" s="25">
        <v>8.7490000000000006</v>
      </c>
      <c r="O21" s="25">
        <v>6.8390000000000004</v>
      </c>
      <c r="P21" s="25">
        <v>5.5979999999999999</v>
      </c>
      <c r="Q21" s="25">
        <v>4.8159999999999998</v>
      </c>
      <c r="R21" s="25">
        <v>3.78</v>
      </c>
      <c r="S21" s="25">
        <v>3.0270000000000001</v>
      </c>
      <c r="T21" s="25">
        <v>2.395</v>
      </c>
      <c r="U21" s="25">
        <v>0</v>
      </c>
      <c r="V21" s="25">
        <v>0.83699999999999997</v>
      </c>
      <c r="W21" s="25">
        <v>1.5640000000000001</v>
      </c>
      <c r="X21" s="25">
        <v>10.359</v>
      </c>
      <c r="Y21" s="25">
        <v>13.83</v>
      </c>
      <c r="Z21" s="25">
        <v>15.305</v>
      </c>
      <c r="AA21" s="25">
        <v>14.996</v>
      </c>
      <c r="AB21" s="25">
        <v>16.731000000000002</v>
      </c>
      <c r="AC21" s="25">
        <v>23.614000000000001</v>
      </c>
      <c r="AD21" s="25">
        <v>10.113</v>
      </c>
      <c r="AE21" s="25">
        <v>11.359</v>
      </c>
      <c r="AF21" s="25">
        <v>6.7670000000000003</v>
      </c>
      <c r="AG21" s="25">
        <v>5.7610000000000001</v>
      </c>
      <c r="AH21" s="25">
        <v>12.334</v>
      </c>
      <c r="AI21" s="25">
        <v>6.8390000000000004</v>
      </c>
      <c r="AJ21" s="25">
        <v>7.133</v>
      </c>
      <c r="AK21" s="25">
        <v>6.2969999999999997</v>
      </c>
      <c r="AL21" s="25">
        <v>4.8159999999999998</v>
      </c>
      <c r="AM21" s="25">
        <v>6.7679999999999998</v>
      </c>
      <c r="AN21" s="25">
        <v>3.7120000000000002</v>
      </c>
      <c r="AO21" s="25">
        <v>6.8390000000000004</v>
      </c>
      <c r="AP21" s="25">
        <v>12.215999999999999</v>
      </c>
      <c r="AQ21" s="25">
        <v>11.906000000000001</v>
      </c>
      <c r="AR21" s="25">
        <v>6.8390000000000004</v>
      </c>
      <c r="AS21" s="25">
        <v>6.8390000000000004</v>
      </c>
      <c r="AT21" s="25">
        <v>6.8390000000000004</v>
      </c>
      <c r="AU21" s="25">
        <v>10.029999999999999</v>
      </c>
      <c r="AV21" s="25">
        <v>6.8390000000000004</v>
      </c>
      <c r="AW21" s="25">
        <v>5.2009999999999996</v>
      </c>
      <c r="AX21" s="25">
        <v>13.159000000000001</v>
      </c>
      <c r="AY21" s="25">
        <v>6.8390000000000004</v>
      </c>
      <c r="AZ21" s="25">
        <v>8.298</v>
      </c>
      <c r="BA21" s="25">
        <v>6.8390000000000004</v>
      </c>
      <c r="BB21" s="25">
        <v>6.0110000000000001</v>
      </c>
      <c r="BC21" s="25">
        <v>6.8390000000000004</v>
      </c>
      <c r="BD21" s="25">
        <v>7.7220000000000004</v>
      </c>
      <c r="BE21" s="25">
        <v>6.8390000000000004</v>
      </c>
      <c r="BF21" s="25">
        <v>36.746000000000002</v>
      </c>
      <c r="BG21" s="25">
        <v>6.8390000000000004</v>
      </c>
      <c r="BH21" s="25">
        <v>6.8390000000000004</v>
      </c>
      <c r="BI21" s="25">
        <v>24.925999999999998</v>
      </c>
      <c r="BJ21" s="25">
        <v>6.8390000000000004</v>
      </c>
      <c r="BK21" s="25">
        <v>6.8390000000000004</v>
      </c>
      <c r="BL21" s="25">
        <v>6.8390000000000004</v>
      </c>
      <c r="BM21" s="25">
        <v>6.8390000000000004</v>
      </c>
      <c r="BN21" s="25">
        <v>6.8390000000000004</v>
      </c>
      <c r="BO21" s="25">
        <v>6.8390000000000004</v>
      </c>
      <c r="BP21" s="25">
        <v>1.242</v>
      </c>
      <c r="BQ21" s="25">
        <v>6.8869999999999996</v>
      </c>
      <c r="BR21" s="25">
        <v>6.8390000000000004</v>
      </c>
      <c r="BS21" s="25">
        <v>6.8390000000000004</v>
      </c>
      <c r="BT21" s="25">
        <v>6.8390000000000004</v>
      </c>
      <c r="BU21" s="25">
        <v>5.5759999999999996</v>
      </c>
      <c r="BV21" s="25">
        <v>6.8390000000000004</v>
      </c>
      <c r="BW21" s="25">
        <v>6.8390000000000004</v>
      </c>
      <c r="BX21" s="25">
        <v>5.4279999999999999</v>
      </c>
      <c r="BY21" s="25">
        <v>7.0110000000000001</v>
      </c>
      <c r="BZ21" s="25">
        <v>6.9249999999999998</v>
      </c>
      <c r="CA21" s="25">
        <v>6.8390000000000004</v>
      </c>
      <c r="CB21" s="25">
        <v>6.8390000000000004</v>
      </c>
      <c r="CC21" s="25">
        <v>12.925000000000001</v>
      </c>
      <c r="CD21" s="25">
        <v>13.83</v>
      </c>
      <c r="CE21" s="25">
        <v>6.8390000000000004</v>
      </c>
      <c r="CF21" s="25">
        <v>16.952999999999999</v>
      </c>
      <c r="CG21" s="25">
        <v>25.013000000000002</v>
      </c>
      <c r="CH21" s="25">
        <v>6.8390000000000004</v>
      </c>
      <c r="CI21" s="25">
        <v>6.8390000000000004</v>
      </c>
      <c r="CJ21" s="25">
        <v>6.8390000000000004</v>
      </c>
      <c r="CK21" s="25">
        <v>6.8390000000000004</v>
      </c>
      <c r="CL21" s="25">
        <v>6.8390000000000004</v>
      </c>
      <c r="CM21" s="25">
        <v>6.8390000000000004</v>
      </c>
      <c r="CN21" s="25">
        <v>6.8390000000000004</v>
      </c>
      <c r="CO21" s="25">
        <v>6.8390000000000004</v>
      </c>
      <c r="CP21" s="25">
        <v>6.8390000000000004</v>
      </c>
      <c r="CQ21" s="25">
        <v>6.8390000000000004</v>
      </c>
      <c r="CR21" s="25">
        <v>6.8390000000000004</v>
      </c>
      <c r="CS21" s="25">
        <v>43.625999999999998</v>
      </c>
      <c r="CT21" s="25">
        <v>6.8390000000000004</v>
      </c>
      <c r="CU21" s="25">
        <v>6.8390000000000004</v>
      </c>
      <c r="CV21" s="25">
        <v>5.83</v>
      </c>
      <c r="CW21" s="25">
        <v>6.8390000000000004</v>
      </c>
      <c r="CX21" s="25">
        <v>6.8390000000000004</v>
      </c>
      <c r="CY21" s="25">
        <v>6.8390000000000004</v>
      </c>
      <c r="CZ21" s="25">
        <v>4.2720000000000002</v>
      </c>
      <c r="DA21" s="25">
        <v>5.42</v>
      </c>
      <c r="DB21" s="25">
        <v>17.433</v>
      </c>
      <c r="DC21" s="25">
        <v>16.765999999999998</v>
      </c>
      <c r="DD21" s="25">
        <v>8.9209999999999994</v>
      </c>
      <c r="DE21" s="25">
        <v>17.327000000000002</v>
      </c>
      <c r="DF21" s="25">
        <v>6.8390000000000004</v>
      </c>
      <c r="DG21" s="25">
        <v>9.1310000000000002</v>
      </c>
      <c r="DH21" s="25">
        <v>34.667000000000002</v>
      </c>
      <c r="DI21" s="25">
        <v>6.8390000000000004</v>
      </c>
      <c r="DJ21" s="25">
        <v>6.8390000000000004</v>
      </c>
      <c r="DK21" s="25">
        <v>5.0540000000000003</v>
      </c>
      <c r="DL21" s="25">
        <v>6.8390000000000004</v>
      </c>
      <c r="DM21" s="25">
        <v>17.327000000000002</v>
      </c>
      <c r="DN21" s="25">
        <v>6.8390000000000004</v>
      </c>
      <c r="DO21" s="25">
        <v>6.8390000000000004</v>
      </c>
      <c r="DP21" s="25">
        <v>6.8390000000000004</v>
      </c>
      <c r="DQ21" s="25">
        <v>6.8390000000000004</v>
      </c>
      <c r="DR21" s="25">
        <v>6.8390000000000004</v>
      </c>
      <c r="DS21" s="25">
        <v>6.8390000000000004</v>
      </c>
      <c r="DT21" s="25">
        <v>6.8390000000000004</v>
      </c>
      <c r="DU21" s="25">
        <v>7.7640000000000002</v>
      </c>
      <c r="DV21" s="25">
        <v>6.8390000000000004</v>
      </c>
      <c r="DW21" s="25">
        <v>8.8829999999999991</v>
      </c>
      <c r="DX21" s="25">
        <v>4.3109999999999999</v>
      </c>
      <c r="DY21" s="25">
        <v>6.8390000000000004</v>
      </c>
      <c r="DZ21" s="25">
        <v>4.68</v>
      </c>
      <c r="EA21" s="25">
        <v>6.8390000000000004</v>
      </c>
      <c r="EB21" s="25">
        <v>9.1020000000000003</v>
      </c>
      <c r="EC21" s="25">
        <v>6.8390000000000004</v>
      </c>
      <c r="ED21" s="25">
        <v>6.8390000000000004</v>
      </c>
      <c r="EE21" s="25">
        <v>6.8390000000000004</v>
      </c>
      <c r="EF21" s="25">
        <v>6.8390000000000004</v>
      </c>
      <c r="EG21" s="25">
        <v>9.9440000000000008</v>
      </c>
      <c r="EH21" s="25">
        <v>11.529</v>
      </c>
      <c r="EI21" s="25">
        <v>6.8390000000000004</v>
      </c>
      <c r="EJ21" s="25">
        <v>4.8159999999999998</v>
      </c>
      <c r="EK21" s="25">
        <v>6.8390000000000004</v>
      </c>
      <c r="EL21" s="25">
        <v>6.8390000000000004</v>
      </c>
      <c r="EM21" s="25">
        <v>3.63</v>
      </c>
      <c r="EN21" s="25">
        <v>6.8390000000000004</v>
      </c>
      <c r="EO21" s="25">
        <v>2</v>
      </c>
      <c r="EP21" s="25">
        <v>6.8390000000000004</v>
      </c>
      <c r="EQ21" s="25">
        <v>6.8390000000000004</v>
      </c>
      <c r="ER21" s="25">
        <v>42.780999999999999</v>
      </c>
      <c r="ES21" s="25">
        <v>8.6910000000000007</v>
      </c>
      <c r="ET21" s="25">
        <v>6.8390000000000004</v>
      </c>
      <c r="EU21" s="25">
        <v>6.8390000000000004</v>
      </c>
      <c r="EV21" s="25">
        <v>6.8390000000000004</v>
      </c>
      <c r="EW21" s="25"/>
    </row>
    <row r="22" spans="1:153" ht="17.25" customHeight="1" x14ac:dyDescent="0.25">
      <c r="A22" s="25" t="s">
        <v>141</v>
      </c>
      <c r="B22" s="25">
        <v>10.576000000000001</v>
      </c>
      <c r="C22" s="25">
        <v>11.523</v>
      </c>
      <c r="D22" s="25">
        <v>7.923</v>
      </c>
      <c r="E22" s="25">
        <v>6.8680000000000003</v>
      </c>
      <c r="F22" s="25">
        <v>6.1829999999999998</v>
      </c>
      <c r="G22" s="25">
        <v>5.6029999999999998</v>
      </c>
      <c r="H22" s="25">
        <v>6.0949999999999998</v>
      </c>
      <c r="I22" s="25">
        <v>5.46</v>
      </c>
      <c r="J22" s="25">
        <v>5.6710000000000003</v>
      </c>
      <c r="K22" s="25">
        <v>6.0049999999999999</v>
      </c>
      <c r="L22" s="25">
        <v>6.8890000000000002</v>
      </c>
      <c r="M22" s="25">
        <v>9.4079999999999995</v>
      </c>
      <c r="N22" s="25">
        <v>7.7249999999999996</v>
      </c>
      <c r="O22" s="25">
        <v>5.8</v>
      </c>
      <c r="P22" s="25">
        <v>4.7610000000000001</v>
      </c>
      <c r="Q22" s="25">
        <v>3.9790000000000001</v>
      </c>
      <c r="R22" s="25">
        <v>2.9430000000000001</v>
      </c>
      <c r="S22" s="25">
        <v>2.19</v>
      </c>
      <c r="T22" s="25">
        <v>1.5580000000000001</v>
      </c>
      <c r="U22" s="25">
        <v>0.83699999999999997</v>
      </c>
      <c r="V22" s="25">
        <v>0</v>
      </c>
      <c r="W22" s="25">
        <v>0.72699999999999998</v>
      </c>
      <c r="X22" s="25">
        <v>10.288</v>
      </c>
      <c r="Y22" s="25">
        <v>13.019</v>
      </c>
      <c r="Z22" s="25">
        <v>14.494</v>
      </c>
      <c r="AA22" s="25">
        <v>14.185</v>
      </c>
      <c r="AB22" s="25">
        <v>15.92</v>
      </c>
      <c r="AC22" s="25">
        <v>22.803000000000001</v>
      </c>
      <c r="AD22" s="25">
        <v>10.042</v>
      </c>
      <c r="AE22" s="25">
        <v>10.548</v>
      </c>
      <c r="AF22" s="25">
        <v>6.6959999999999997</v>
      </c>
      <c r="AG22" s="25">
        <v>5.69</v>
      </c>
      <c r="AH22" s="25">
        <v>11.523</v>
      </c>
      <c r="AI22" s="25">
        <v>5.8</v>
      </c>
      <c r="AJ22" s="25">
        <v>6.0949999999999998</v>
      </c>
      <c r="AK22" s="25">
        <v>5.46</v>
      </c>
      <c r="AL22" s="25">
        <v>3.9790000000000001</v>
      </c>
      <c r="AM22" s="25">
        <v>6.6970000000000001</v>
      </c>
      <c r="AN22" s="25">
        <v>4.5529999999999999</v>
      </c>
      <c r="AO22" s="25">
        <v>5.8</v>
      </c>
      <c r="AP22" s="25">
        <v>11.404999999999999</v>
      </c>
      <c r="AQ22" s="25">
        <v>11.095000000000001</v>
      </c>
      <c r="AR22" s="25">
        <v>5.8</v>
      </c>
      <c r="AS22" s="25">
        <v>5.8</v>
      </c>
      <c r="AT22" s="25">
        <v>5.8</v>
      </c>
      <c r="AU22" s="25">
        <v>9.2189999999999994</v>
      </c>
      <c r="AV22" s="25">
        <v>5.8</v>
      </c>
      <c r="AW22" s="25">
        <v>4.3899999999999997</v>
      </c>
      <c r="AX22" s="25">
        <v>11.968999999999999</v>
      </c>
      <c r="AY22" s="25">
        <v>5.8</v>
      </c>
      <c r="AZ22" s="25">
        <v>7.274</v>
      </c>
      <c r="BA22" s="25">
        <v>5.8</v>
      </c>
      <c r="BB22" s="25">
        <v>5.2</v>
      </c>
      <c r="BC22" s="25">
        <v>5.8</v>
      </c>
      <c r="BD22" s="25">
        <v>6.6980000000000004</v>
      </c>
      <c r="BE22" s="25">
        <v>5.8</v>
      </c>
      <c r="BF22" s="25">
        <v>35.935000000000002</v>
      </c>
      <c r="BG22" s="25">
        <v>5.8</v>
      </c>
      <c r="BH22" s="25">
        <v>5.8</v>
      </c>
      <c r="BI22" s="25">
        <v>24.114999999999998</v>
      </c>
      <c r="BJ22" s="25">
        <v>5.8</v>
      </c>
      <c r="BK22" s="25">
        <v>5.8</v>
      </c>
      <c r="BL22" s="25">
        <v>5.8</v>
      </c>
      <c r="BM22" s="25">
        <v>5.8</v>
      </c>
      <c r="BN22" s="25">
        <v>5.8</v>
      </c>
      <c r="BO22" s="25">
        <v>5.8</v>
      </c>
      <c r="BP22" s="25">
        <v>0.83799999999999997</v>
      </c>
      <c r="BQ22" s="25">
        <v>6.0759999999999996</v>
      </c>
      <c r="BR22" s="25">
        <v>5.8</v>
      </c>
      <c r="BS22" s="25">
        <v>5.8</v>
      </c>
      <c r="BT22" s="25">
        <v>5.8</v>
      </c>
      <c r="BU22" s="25">
        <v>4.9649999999999999</v>
      </c>
      <c r="BV22" s="25">
        <v>5.8</v>
      </c>
      <c r="BW22" s="25">
        <v>5.8</v>
      </c>
      <c r="BX22" s="25">
        <v>5.4749999999999996</v>
      </c>
      <c r="BY22" s="25">
        <v>6.2</v>
      </c>
      <c r="BZ22" s="25">
        <v>6.1139999999999999</v>
      </c>
      <c r="CA22" s="25">
        <v>5.8</v>
      </c>
      <c r="CB22" s="25">
        <v>5.8</v>
      </c>
      <c r="CC22" s="25">
        <v>12.114000000000001</v>
      </c>
      <c r="CD22" s="25">
        <v>13.019</v>
      </c>
      <c r="CE22" s="25">
        <v>5.8</v>
      </c>
      <c r="CF22" s="25">
        <v>16.141999999999999</v>
      </c>
      <c r="CG22" s="25">
        <v>24.202000000000002</v>
      </c>
      <c r="CH22" s="25">
        <v>5.8</v>
      </c>
      <c r="CI22" s="25">
        <v>5.8</v>
      </c>
      <c r="CJ22" s="25">
        <v>5.8</v>
      </c>
      <c r="CK22" s="25">
        <v>5.8</v>
      </c>
      <c r="CL22" s="25">
        <v>5.8</v>
      </c>
      <c r="CM22" s="25">
        <v>5.8</v>
      </c>
      <c r="CN22" s="25">
        <v>5.8</v>
      </c>
      <c r="CO22" s="25">
        <v>5.8</v>
      </c>
      <c r="CP22" s="25">
        <v>5.8</v>
      </c>
      <c r="CQ22" s="25">
        <v>5.8</v>
      </c>
      <c r="CR22" s="25">
        <v>5.8</v>
      </c>
      <c r="CS22" s="25">
        <v>42.814999999999998</v>
      </c>
      <c r="CT22" s="25">
        <v>5.8</v>
      </c>
      <c r="CU22" s="25">
        <v>5.8</v>
      </c>
      <c r="CV22" s="25">
        <v>4.9930000000000003</v>
      </c>
      <c r="CW22" s="25">
        <v>5.8</v>
      </c>
      <c r="CX22" s="25">
        <v>5.8</v>
      </c>
      <c r="CY22" s="25">
        <v>5.8</v>
      </c>
      <c r="CZ22" s="25">
        <v>4.2460000000000004</v>
      </c>
      <c r="DA22" s="25">
        <v>4.609</v>
      </c>
      <c r="DB22" s="25">
        <v>16.622</v>
      </c>
      <c r="DC22" s="25">
        <v>15.955</v>
      </c>
      <c r="DD22" s="25">
        <v>8.11</v>
      </c>
      <c r="DE22" s="25">
        <v>17.256</v>
      </c>
      <c r="DF22" s="25">
        <v>5.8</v>
      </c>
      <c r="DG22" s="25">
        <v>8.32</v>
      </c>
      <c r="DH22" s="25">
        <v>33.856000000000002</v>
      </c>
      <c r="DI22" s="25">
        <v>5.8</v>
      </c>
      <c r="DJ22" s="25">
        <v>5.8</v>
      </c>
      <c r="DK22" s="25">
        <v>4.2169999999999996</v>
      </c>
      <c r="DL22" s="25">
        <v>5.8</v>
      </c>
      <c r="DM22" s="25">
        <v>17.256</v>
      </c>
      <c r="DN22" s="25">
        <v>5.8</v>
      </c>
      <c r="DO22" s="25">
        <v>5.8</v>
      </c>
      <c r="DP22" s="25">
        <v>5.8</v>
      </c>
      <c r="DQ22" s="25">
        <v>5.8</v>
      </c>
      <c r="DR22" s="25">
        <v>5.8</v>
      </c>
      <c r="DS22" s="25">
        <v>5.8</v>
      </c>
      <c r="DT22" s="25">
        <v>5.8</v>
      </c>
      <c r="DU22" s="25">
        <v>7.2270000000000003</v>
      </c>
      <c r="DV22" s="25">
        <v>5.8</v>
      </c>
      <c r="DW22" s="25">
        <v>8.8119999999999994</v>
      </c>
      <c r="DX22" s="25">
        <v>5.1520000000000001</v>
      </c>
      <c r="DY22" s="25">
        <v>5.8</v>
      </c>
      <c r="DZ22" s="25">
        <v>5.5209999999999999</v>
      </c>
      <c r="EA22" s="25">
        <v>5.8</v>
      </c>
      <c r="EB22" s="25">
        <v>8.2910000000000004</v>
      </c>
      <c r="EC22" s="25">
        <v>5.8</v>
      </c>
      <c r="ED22" s="25">
        <v>5.8</v>
      </c>
      <c r="EE22" s="25">
        <v>5.8</v>
      </c>
      <c r="EF22" s="25">
        <v>5.8</v>
      </c>
      <c r="EG22" s="25">
        <v>9.1329999999999991</v>
      </c>
      <c r="EH22" s="25">
        <v>10.115</v>
      </c>
      <c r="EI22" s="25">
        <v>5.8</v>
      </c>
      <c r="EJ22" s="25">
        <v>3.9790000000000001</v>
      </c>
      <c r="EK22" s="25">
        <v>5.8</v>
      </c>
      <c r="EL22" s="25">
        <v>5.8</v>
      </c>
      <c r="EM22" s="25">
        <v>2.7930000000000001</v>
      </c>
      <c r="EN22" s="25">
        <v>5.8</v>
      </c>
      <c r="EO22" s="25">
        <v>1.1890000000000001</v>
      </c>
      <c r="EP22" s="25">
        <v>5.8</v>
      </c>
      <c r="EQ22" s="25">
        <v>5.8</v>
      </c>
      <c r="ER22" s="25">
        <v>41.97</v>
      </c>
      <c r="ES22" s="25">
        <v>9.0510000000000002</v>
      </c>
      <c r="ET22" s="25">
        <v>5.8</v>
      </c>
      <c r="EU22" s="25">
        <v>5.8</v>
      </c>
      <c r="EV22" s="25">
        <v>5.8</v>
      </c>
      <c r="EW22" s="25"/>
    </row>
    <row r="23" spans="1:153" ht="17.25" customHeight="1" x14ac:dyDescent="0.25">
      <c r="A23" s="25" t="s">
        <v>142</v>
      </c>
      <c r="B23" s="25">
        <v>10.228999999999999</v>
      </c>
      <c r="C23" s="25">
        <v>11.176</v>
      </c>
      <c r="D23" s="25">
        <v>7.4320000000000004</v>
      </c>
      <c r="E23" s="25">
        <v>6.3769999999999998</v>
      </c>
      <c r="F23" s="25">
        <v>5.6920000000000002</v>
      </c>
      <c r="G23" s="25">
        <v>4.8760000000000003</v>
      </c>
      <c r="H23" s="25">
        <v>5.3680000000000003</v>
      </c>
      <c r="I23" s="25">
        <v>4.7329999999999997</v>
      </c>
      <c r="J23" s="25">
        <v>4.944</v>
      </c>
      <c r="K23" s="25">
        <v>5.2779999999999996</v>
      </c>
      <c r="L23" s="25">
        <v>6.1619999999999999</v>
      </c>
      <c r="M23" s="25">
        <v>8.4619999999999997</v>
      </c>
      <c r="N23" s="25">
        <v>6.9980000000000002</v>
      </c>
      <c r="O23" s="25">
        <v>5.0730000000000004</v>
      </c>
      <c r="P23" s="25">
        <v>4.0339999999999998</v>
      </c>
      <c r="Q23" s="25">
        <v>3.2519999999999998</v>
      </c>
      <c r="R23" s="25">
        <v>2.2160000000000002</v>
      </c>
      <c r="S23" s="25">
        <v>1.4630000000000001</v>
      </c>
      <c r="T23" s="25">
        <v>0.83099999999999996</v>
      </c>
      <c r="U23" s="25">
        <v>1.5640000000000001</v>
      </c>
      <c r="V23" s="25">
        <v>0.72699999999999998</v>
      </c>
      <c r="W23" s="25">
        <v>0</v>
      </c>
      <c r="X23" s="25">
        <v>9.7840000000000007</v>
      </c>
      <c r="Y23" s="25">
        <v>12.672000000000001</v>
      </c>
      <c r="Z23" s="25">
        <v>14.147</v>
      </c>
      <c r="AA23" s="25">
        <v>13.839</v>
      </c>
      <c r="AB23" s="25">
        <v>15.574</v>
      </c>
      <c r="AC23" s="25">
        <v>22.457000000000001</v>
      </c>
      <c r="AD23" s="25">
        <v>9.5380000000000003</v>
      </c>
      <c r="AE23" s="25">
        <v>10.201000000000001</v>
      </c>
      <c r="AF23" s="25">
        <v>6.1920000000000002</v>
      </c>
      <c r="AG23" s="25">
        <v>5.1859999999999999</v>
      </c>
      <c r="AH23" s="25">
        <v>11.176</v>
      </c>
      <c r="AI23" s="25">
        <v>5.0730000000000004</v>
      </c>
      <c r="AJ23" s="25">
        <v>5.3680000000000003</v>
      </c>
      <c r="AK23" s="25">
        <v>4.7329999999999997</v>
      </c>
      <c r="AL23" s="25">
        <v>3.2519999999999998</v>
      </c>
      <c r="AM23" s="25">
        <v>6.1929999999999996</v>
      </c>
      <c r="AN23" s="25">
        <v>5.28</v>
      </c>
      <c r="AO23" s="25">
        <v>5.0730000000000004</v>
      </c>
      <c r="AP23" s="25">
        <v>11.058</v>
      </c>
      <c r="AQ23" s="25">
        <v>10.747999999999999</v>
      </c>
      <c r="AR23" s="25">
        <v>5.0730000000000004</v>
      </c>
      <c r="AS23" s="25">
        <v>5.0730000000000004</v>
      </c>
      <c r="AT23" s="25">
        <v>5.0730000000000004</v>
      </c>
      <c r="AU23" s="25">
        <v>8.7279999999999998</v>
      </c>
      <c r="AV23" s="25">
        <v>5.0730000000000004</v>
      </c>
      <c r="AW23" s="25">
        <v>3.899</v>
      </c>
      <c r="AX23" s="25">
        <v>11.242000000000001</v>
      </c>
      <c r="AY23" s="25">
        <v>5.0730000000000004</v>
      </c>
      <c r="AZ23" s="25">
        <v>6.5469999999999997</v>
      </c>
      <c r="BA23" s="25">
        <v>5.0730000000000004</v>
      </c>
      <c r="BB23" s="25">
        <v>4.1369999999999996</v>
      </c>
      <c r="BC23" s="25">
        <v>5.0730000000000004</v>
      </c>
      <c r="BD23" s="25">
        <v>5.9710000000000001</v>
      </c>
      <c r="BE23" s="25">
        <v>5.0730000000000004</v>
      </c>
      <c r="BF23" s="25">
        <v>35.588999999999999</v>
      </c>
      <c r="BG23" s="25">
        <v>5.0730000000000004</v>
      </c>
      <c r="BH23" s="25">
        <v>5.0730000000000004</v>
      </c>
      <c r="BI23" s="25">
        <v>23.768000000000001</v>
      </c>
      <c r="BJ23" s="25">
        <v>5.0730000000000004</v>
      </c>
      <c r="BK23" s="25">
        <v>5.0730000000000004</v>
      </c>
      <c r="BL23" s="25">
        <v>5.0730000000000004</v>
      </c>
      <c r="BM23" s="25">
        <v>5.0730000000000004</v>
      </c>
      <c r="BN23" s="25">
        <v>5.0730000000000004</v>
      </c>
      <c r="BO23" s="25">
        <v>5.0730000000000004</v>
      </c>
      <c r="BP23" s="25">
        <v>1.5449999999999999</v>
      </c>
      <c r="BQ23" s="25">
        <v>5.585</v>
      </c>
      <c r="BR23" s="25">
        <v>5.0730000000000004</v>
      </c>
      <c r="BS23" s="25">
        <v>5.0730000000000004</v>
      </c>
      <c r="BT23" s="25">
        <v>5.0730000000000004</v>
      </c>
      <c r="BU23" s="25">
        <v>4.4740000000000002</v>
      </c>
      <c r="BV23" s="25">
        <v>5.0730000000000004</v>
      </c>
      <c r="BW23" s="25">
        <v>5.0730000000000004</v>
      </c>
      <c r="BX23" s="25">
        <v>4.7480000000000002</v>
      </c>
      <c r="BY23" s="25">
        <v>5.7089999999999996</v>
      </c>
      <c r="BZ23" s="25">
        <v>5.6230000000000002</v>
      </c>
      <c r="CA23" s="25">
        <v>5.0730000000000004</v>
      </c>
      <c r="CB23" s="25">
        <v>5.0730000000000004</v>
      </c>
      <c r="CC23" s="25">
        <v>11.766999999999999</v>
      </c>
      <c r="CD23" s="25">
        <v>12.672000000000001</v>
      </c>
      <c r="CE23" s="25">
        <v>5.0730000000000004</v>
      </c>
      <c r="CF23" s="25">
        <v>15.795999999999999</v>
      </c>
      <c r="CG23" s="25">
        <v>23.856000000000002</v>
      </c>
      <c r="CH23" s="25">
        <v>5.0730000000000004</v>
      </c>
      <c r="CI23" s="25">
        <v>5.0730000000000004</v>
      </c>
      <c r="CJ23" s="25">
        <v>5.0730000000000004</v>
      </c>
      <c r="CK23" s="25">
        <v>5.0730000000000004</v>
      </c>
      <c r="CL23" s="25">
        <v>5.0730000000000004</v>
      </c>
      <c r="CM23" s="25">
        <v>5.0730000000000004</v>
      </c>
      <c r="CN23" s="25">
        <v>5.0730000000000004</v>
      </c>
      <c r="CO23" s="25">
        <v>5.0730000000000004</v>
      </c>
      <c r="CP23" s="25">
        <v>5.0730000000000004</v>
      </c>
      <c r="CQ23" s="25">
        <v>5.0730000000000004</v>
      </c>
      <c r="CR23" s="25">
        <v>5.0730000000000004</v>
      </c>
      <c r="CS23" s="25">
        <v>42.468000000000004</v>
      </c>
      <c r="CT23" s="25">
        <v>5.0730000000000004</v>
      </c>
      <c r="CU23" s="25">
        <v>5.0730000000000004</v>
      </c>
      <c r="CV23" s="25">
        <v>4.266</v>
      </c>
      <c r="CW23" s="25">
        <v>5.0730000000000004</v>
      </c>
      <c r="CX23" s="25">
        <v>5.0730000000000004</v>
      </c>
      <c r="CY23" s="25">
        <v>5.0730000000000004</v>
      </c>
      <c r="CZ23" s="25">
        <v>3.7549999999999999</v>
      </c>
      <c r="DA23" s="25">
        <v>4.234</v>
      </c>
      <c r="DB23" s="25">
        <v>16.274999999999999</v>
      </c>
      <c r="DC23" s="25">
        <v>15.608000000000001</v>
      </c>
      <c r="DD23" s="25">
        <v>7.6189999999999998</v>
      </c>
      <c r="DE23" s="25">
        <v>16.751999999999999</v>
      </c>
      <c r="DF23" s="25">
        <v>5.0730000000000004</v>
      </c>
      <c r="DG23" s="25">
        <v>7.9729999999999999</v>
      </c>
      <c r="DH23" s="25">
        <v>33.51</v>
      </c>
      <c r="DI23" s="25">
        <v>5.0730000000000004</v>
      </c>
      <c r="DJ23" s="25">
        <v>5.0730000000000004</v>
      </c>
      <c r="DK23" s="25">
        <v>3.49</v>
      </c>
      <c r="DL23" s="25">
        <v>5.0730000000000004</v>
      </c>
      <c r="DM23" s="25">
        <v>16.751999999999999</v>
      </c>
      <c r="DN23" s="25">
        <v>5.0730000000000004</v>
      </c>
      <c r="DO23" s="25">
        <v>5.0730000000000004</v>
      </c>
      <c r="DP23" s="25">
        <v>5.0730000000000004</v>
      </c>
      <c r="DQ23" s="25">
        <v>5.0730000000000004</v>
      </c>
      <c r="DR23" s="25">
        <v>5.0730000000000004</v>
      </c>
      <c r="DS23" s="25">
        <v>5.0730000000000004</v>
      </c>
      <c r="DT23" s="25">
        <v>5.0730000000000004</v>
      </c>
      <c r="DU23" s="25">
        <v>10.231</v>
      </c>
      <c r="DV23" s="25">
        <v>5.0730000000000004</v>
      </c>
      <c r="DW23" s="25">
        <v>8.3079999999999998</v>
      </c>
      <c r="DX23" s="25">
        <v>5.8789999999999996</v>
      </c>
      <c r="DY23" s="25">
        <v>5.0730000000000004</v>
      </c>
      <c r="DZ23" s="25">
        <v>6.2480000000000002</v>
      </c>
      <c r="EA23" s="25">
        <v>5.0730000000000004</v>
      </c>
      <c r="EB23" s="25">
        <v>7.944</v>
      </c>
      <c r="EC23" s="25">
        <v>5.0730000000000004</v>
      </c>
      <c r="ED23" s="25">
        <v>5.0730000000000004</v>
      </c>
      <c r="EE23" s="25">
        <v>5.0730000000000004</v>
      </c>
      <c r="EF23" s="25">
        <v>5.0730000000000004</v>
      </c>
      <c r="EG23" s="25">
        <v>8.7859999999999996</v>
      </c>
      <c r="EH23" s="25">
        <v>9.3879999999999999</v>
      </c>
      <c r="EI23" s="25">
        <v>5.0730000000000004</v>
      </c>
      <c r="EJ23" s="25">
        <v>3.2519999999999998</v>
      </c>
      <c r="EK23" s="25">
        <v>5.0730000000000004</v>
      </c>
      <c r="EL23" s="25">
        <v>5.0730000000000004</v>
      </c>
      <c r="EM23" s="25">
        <v>2.0659999999999998</v>
      </c>
      <c r="EN23" s="25">
        <v>5.0730000000000004</v>
      </c>
      <c r="EO23" s="25">
        <v>0.69699999999999995</v>
      </c>
      <c r="EP23" s="25">
        <v>5.0730000000000004</v>
      </c>
      <c r="EQ23" s="25">
        <v>5.0730000000000004</v>
      </c>
      <c r="ER23" s="25">
        <v>41.624000000000002</v>
      </c>
      <c r="ES23" s="25">
        <v>9.6039999999999992</v>
      </c>
      <c r="ET23" s="25">
        <v>5.0730000000000004</v>
      </c>
      <c r="EU23" s="25">
        <v>5.0730000000000004</v>
      </c>
      <c r="EV23" s="25">
        <v>5.0730000000000004</v>
      </c>
      <c r="EW23" s="25"/>
    </row>
    <row r="24" spans="1:153" ht="17.25" customHeight="1" x14ac:dyDescent="0.25">
      <c r="A24" s="25" t="s">
        <v>143</v>
      </c>
      <c r="B24" s="25">
        <v>18.317</v>
      </c>
      <c r="C24" s="25">
        <v>19.263999999999999</v>
      </c>
      <c r="D24" s="25">
        <v>13.186999999999999</v>
      </c>
      <c r="E24" s="25">
        <v>11.8</v>
      </c>
      <c r="F24" s="25">
        <v>13.78</v>
      </c>
      <c r="G24" s="25">
        <v>9.9039999999999999</v>
      </c>
      <c r="H24" s="25">
        <v>9.1509999999999998</v>
      </c>
      <c r="I24" s="25">
        <v>7.9180000000000001</v>
      </c>
      <c r="J24" s="25">
        <v>7.7220000000000004</v>
      </c>
      <c r="K24" s="25">
        <v>6.923</v>
      </c>
      <c r="L24" s="25">
        <v>6.157</v>
      </c>
      <c r="M24" s="25">
        <v>12.257999999999999</v>
      </c>
      <c r="N24" s="25">
        <v>10.89</v>
      </c>
      <c r="O24" s="25">
        <v>9.4450000000000003</v>
      </c>
      <c r="P24" s="25">
        <v>9.984</v>
      </c>
      <c r="Q24" s="25">
        <v>11.343</v>
      </c>
      <c r="R24" s="25">
        <v>10.307</v>
      </c>
      <c r="S24" s="25">
        <v>9.5540000000000003</v>
      </c>
      <c r="T24" s="25">
        <v>9.8170000000000002</v>
      </c>
      <c r="U24" s="25">
        <v>9.9329999999999998</v>
      </c>
      <c r="V24" s="25">
        <v>10.974</v>
      </c>
      <c r="W24" s="25">
        <v>10.247</v>
      </c>
      <c r="X24" s="25">
        <v>0</v>
      </c>
      <c r="Y24" s="25">
        <v>20.76</v>
      </c>
      <c r="Z24" s="25">
        <v>22.234999999999999</v>
      </c>
      <c r="AA24" s="25">
        <v>21.925999999999998</v>
      </c>
      <c r="AB24" s="25">
        <v>23.661000000000001</v>
      </c>
      <c r="AC24" s="25">
        <v>30.544</v>
      </c>
      <c r="AD24" s="25">
        <v>2.0230000000000001</v>
      </c>
      <c r="AE24" s="25">
        <v>18.289000000000001</v>
      </c>
      <c r="AF24" s="25">
        <v>3.4350000000000001</v>
      </c>
      <c r="AG24" s="25">
        <v>4.7530000000000001</v>
      </c>
      <c r="AH24" s="25">
        <v>19.263999999999999</v>
      </c>
      <c r="AI24" s="25">
        <v>9.4450000000000003</v>
      </c>
      <c r="AJ24" s="25">
        <v>9.1509999999999998</v>
      </c>
      <c r="AK24" s="25">
        <v>7.9180000000000001</v>
      </c>
      <c r="AL24" s="25">
        <v>11.343</v>
      </c>
      <c r="AM24" s="25">
        <v>4.55</v>
      </c>
      <c r="AN24" s="25">
        <v>12.372</v>
      </c>
      <c r="AO24" s="25">
        <v>9.4450000000000003</v>
      </c>
      <c r="AP24" s="25">
        <v>19.146000000000001</v>
      </c>
      <c r="AQ24" s="25">
        <v>18.835999999999999</v>
      </c>
      <c r="AR24" s="25">
        <v>9.4450000000000003</v>
      </c>
      <c r="AS24" s="25">
        <v>9.4450000000000003</v>
      </c>
      <c r="AT24" s="25">
        <v>9.4450000000000003</v>
      </c>
      <c r="AU24" s="25">
        <v>13.526999999999999</v>
      </c>
      <c r="AV24" s="25">
        <v>9.4450000000000003</v>
      </c>
      <c r="AW24" s="25">
        <v>12.132999999999999</v>
      </c>
      <c r="AX24" s="25">
        <v>15.071999999999999</v>
      </c>
      <c r="AY24" s="25">
        <v>9.4450000000000003</v>
      </c>
      <c r="AZ24" s="25">
        <v>10.439</v>
      </c>
      <c r="BA24" s="25">
        <v>9.4450000000000003</v>
      </c>
      <c r="BB24" s="25">
        <v>10.054</v>
      </c>
      <c r="BC24" s="25">
        <v>9.4450000000000003</v>
      </c>
      <c r="BD24" s="25">
        <v>9.8629999999999995</v>
      </c>
      <c r="BE24" s="25">
        <v>9.4450000000000003</v>
      </c>
      <c r="BF24" s="25">
        <v>43.676000000000002</v>
      </c>
      <c r="BG24" s="25">
        <v>9.4450000000000003</v>
      </c>
      <c r="BH24" s="25">
        <v>9.4450000000000003</v>
      </c>
      <c r="BI24" s="25">
        <v>31.856000000000002</v>
      </c>
      <c r="BJ24" s="25">
        <v>9.4450000000000003</v>
      </c>
      <c r="BK24" s="25">
        <v>9.4450000000000003</v>
      </c>
      <c r="BL24" s="25">
        <v>9.4450000000000003</v>
      </c>
      <c r="BM24" s="25">
        <v>9.4450000000000003</v>
      </c>
      <c r="BN24" s="25">
        <v>9.4450000000000003</v>
      </c>
      <c r="BO24" s="25">
        <v>9.4450000000000003</v>
      </c>
      <c r="BP24" s="25">
        <v>11.792</v>
      </c>
      <c r="BQ24" s="25">
        <v>13.673</v>
      </c>
      <c r="BR24" s="25">
        <v>9.4450000000000003</v>
      </c>
      <c r="BS24" s="25">
        <v>9.4450000000000003</v>
      </c>
      <c r="BT24" s="25">
        <v>9.4450000000000003</v>
      </c>
      <c r="BU24" s="25">
        <v>13.920999999999999</v>
      </c>
      <c r="BV24" s="25">
        <v>9.4450000000000003</v>
      </c>
      <c r="BW24" s="25">
        <v>9.4450000000000003</v>
      </c>
      <c r="BX24" s="25">
        <v>6.7990000000000004</v>
      </c>
      <c r="BY24" s="25">
        <v>11.487</v>
      </c>
      <c r="BZ24" s="25">
        <v>11.925000000000001</v>
      </c>
      <c r="CA24" s="25">
        <v>9.4450000000000003</v>
      </c>
      <c r="CB24" s="25">
        <v>9.4450000000000003</v>
      </c>
      <c r="CC24" s="25">
        <v>19.855</v>
      </c>
      <c r="CD24" s="25">
        <v>20.76</v>
      </c>
      <c r="CE24" s="25">
        <v>9.4450000000000003</v>
      </c>
      <c r="CF24" s="25">
        <v>23.882999999999999</v>
      </c>
      <c r="CG24" s="25">
        <v>31.943000000000001</v>
      </c>
      <c r="CH24" s="25">
        <v>9.4450000000000003</v>
      </c>
      <c r="CI24" s="25">
        <v>9.4450000000000003</v>
      </c>
      <c r="CJ24" s="25">
        <v>9.4450000000000003</v>
      </c>
      <c r="CK24" s="25">
        <v>9.4450000000000003</v>
      </c>
      <c r="CL24" s="25">
        <v>9.4450000000000003</v>
      </c>
      <c r="CM24" s="25">
        <v>9.4450000000000003</v>
      </c>
      <c r="CN24" s="25">
        <v>9.4450000000000003</v>
      </c>
      <c r="CO24" s="25">
        <v>9.4450000000000003</v>
      </c>
      <c r="CP24" s="25">
        <v>9.4450000000000003</v>
      </c>
      <c r="CQ24" s="25">
        <v>9.4450000000000003</v>
      </c>
      <c r="CR24" s="25">
        <v>9.4450000000000003</v>
      </c>
      <c r="CS24" s="25">
        <v>50.555999999999997</v>
      </c>
      <c r="CT24" s="25">
        <v>9.4450000000000003</v>
      </c>
      <c r="CU24" s="25">
        <v>9.4450000000000003</v>
      </c>
      <c r="CV24" s="25">
        <v>7.8680000000000003</v>
      </c>
      <c r="CW24" s="25">
        <v>9.4450000000000003</v>
      </c>
      <c r="CX24" s="25">
        <v>9.4450000000000003</v>
      </c>
      <c r="CY24" s="25">
        <v>9.4450000000000003</v>
      </c>
      <c r="CZ24" s="25">
        <v>13.202</v>
      </c>
      <c r="DA24" s="25">
        <v>12.324999999999999</v>
      </c>
      <c r="DB24" s="25">
        <v>24.363</v>
      </c>
      <c r="DC24" s="25">
        <v>23.696000000000002</v>
      </c>
      <c r="DD24" s="25">
        <v>13.207000000000001</v>
      </c>
      <c r="DE24" s="25">
        <v>12.907</v>
      </c>
      <c r="DF24" s="25">
        <v>9.4450000000000003</v>
      </c>
      <c r="DG24" s="25">
        <v>16.061</v>
      </c>
      <c r="DH24" s="25">
        <v>41.597000000000001</v>
      </c>
      <c r="DI24" s="25">
        <v>9.4450000000000003</v>
      </c>
      <c r="DJ24" s="25">
        <v>9.4450000000000003</v>
      </c>
      <c r="DK24" s="25">
        <v>9.8339999999999996</v>
      </c>
      <c r="DL24" s="25">
        <v>9.4450000000000003</v>
      </c>
      <c r="DM24" s="25">
        <v>12.907</v>
      </c>
      <c r="DN24" s="25">
        <v>9.4450000000000003</v>
      </c>
      <c r="DO24" s="25">
        <v>9.4450000000000003</v>
      </c>
      <c r="DP24" s="25">
        <v>9.4450000000000003</v>
      </c>
      <c r="DQ24" s="25">
        <v>9.4450000000000003</v>
      </c>
      <c r="DR24" s="25">
        <v>9.4450000000000003</v>
      </c>
      <c r="DS24" s="25">
        <v>9.4450000000000003</v>
      </c>
      <c r="DT24" s="25">
        <v>9.4450000000000003</v>
      </c>
      <c r="DU24" s="25">
        <v>18.318999999999999</v>
      </c>
      <c r="DV24" s="25">
        <v>9.4450000000000003</v>
      </c>
      <c r="DW24" s="25">
        <v>1.7829999999999999</v>
      </c>
      <c r="DX24" s="25">
        <v>8.6739999999999995</v>
      </c>
      <c r="DY24" s="25">
        <v>9.4450000000000003</v>
      </c>
      <c r="DZ24" s="25">
        <v>8.9390000000000001</v>
      </c>
      <c r="EA24" s="25">
        <v>9.4450000000000003</v>
      </c>
      <c r="EB24" s="25">
        <v>16.032</v>
      </c>
      <c r="EC24" s="25">
        <v>9.4450000000000003</v>
      </c>
      <c r="ED24" s="25">
        <v>9.4450000000000003</v>
      </c>
      <c r="EE24" s="25">
        <v>9.4450000000000003</v>
      </c>
      <c r="EF24" s="25">
        <v>9.4450000000000003</v>
      </c>
      <c r="EG24" s="25">
        <v>16.873999999999999</v>
      </c>
      <c r="EH24" s="25">
        <v>9.3170000000000002</v>
      </c>
      <c r="EI24" s="25">
        <v>9.4450000000000003</v>
      </c>
      <c r="EJ24" s="25">
        <v>11.343</v>
      </c>
      <c r="EK24" s="25">
        <v>9.4450000000000003</v>
      </c>
      <c r="EL24" s="25">
        <v>9.4450000000000003</v>
      </c>
      <c r="EM24" s="25">
        <v>10.054</v>
      </c>
      <c r="EN24" s="25">
        <v>9.4450000000000003</v>
      </c>
      <c r="EO24" s="25">
        <v>10.641</v>
      </c>
      <c r="EP24" s="25">
        <v>9.4450000000000003</v>
      </c>
      <c r="EQ24" s="25">
        <v>9.4450000000000003</v>
      </c>
      <c r="ER24" s="25">
        <v>49.710999999999999</v>
      </c>
      <c r="ES24" s="25">
        <v>1.3740000000000001</v>
      </c>
      <c r="ET24" s="25">
        <v>9.4450000000000003</v>
      </c>
      <c r="EU24" s="25">
        <v>9.4450000000000003</v>
      </c>
      <c r="EV24" s="25">
        <v>9.4450000000000003</v>
      </c>
      <c r="EW24" s="25"/>
    </row>
    <row r="25" spans="1:153" ht="17.25" customHeight="1" x14ac:dyDescent="0.25">
      <c r="A25" s="25" t="s">
        <v>144</v>
      </c>
      <c r="B25" s="25">
        <v>3.9260000000000002</v>
      </c>
      <c r="C25" s="25">
        <v>4.9660000000000002</v>
      </c>
      <c r="D25" s="25">
        <v>5.8689999999999998</v>
      </c>
      <c r="E25" s="25">
        <v>8.4179999999999993</v>
      </c>
      <c r="F25" s="25">
        <v>8.7080000000000002</v>
      </c>
      <c r="G25" s="25">
        <v>9.67</v>
      </c>
      <c r="H25" s="25">
        <v>10.063000000000001</v>
      </c>
      <c r="I25" s="25">
        <v>11.090999999999999</v>
      </c>
      <c r="J25" s="25">
        <v>11.348000000000001</v>
      </c>
      <c r="K25" s="25">
        <v>19.138000000000002</v>
      </c>
      <c r="L25" s="25">
        <v>18.373000000000001</v>
      </c>
      <c r="M25" s="25">
        <v>10.493</v>
      </c>
      <c r="N25" s="25">
        <v>10.430999999999999</v>
      </c>
      <c r="O25" s="25">
        <v>9.7850000000000001</v>
      </c>
      <c r="P25" s="25">
        <v>13.233000000000001</v>
      </c>
      <c r="Q25" s="25">
        <v>12.451000000000001</v>
      </c>
      <c r="R25" s="25">
        <v>11.414</v>
      </c>
      <c r="S25" s="25">
        <v>10.661</v>
      </c>
      <c r="T25" s="25">
        <v>11.167</v>
      </c>
      <c r="U25" s="25">
        <v>13.071999999999999</v>
      </c>
      <c r="V25" s="25">
        <v>12.654999999999999</v>
      </c>
      <c r="W25" s="25">
        <v>11.928000000000001</v>
      </c>
      <c r="X25" s="25">
        <v>20.346</v>
      </c>
      <c r="Y25" s="25">
        <v>0</v>
      </c>
      <c r="Z25" s="25">
        <v>2.2949999999999999</v>
      </c>
      <c r="AA25" s="25">
        <v>4.6109999999999998</v>
      </c>
      <c r="AB25" s="25">
        <v>6.3460000000000001</v>
      </c>
      <c r="AC25" s="25">
        <v>11.255000000000001</v>
      </c>
      <c r="AD25" s="25">
        <v>20.100000000000001</v>
      </c>
      <c r="AE25" s="25">
        <v>3.7440000000000002</v>
      </c>
      <c r="AF25" s="25">
        <v>16.68</v>
      </c>
      <c r="AG25" s="25">
        <v>16.969000000000001</v>
      </c>
      <c r="AH25" s="25">
        <v>4.9660000000000002</v>
      </c>
      <c r="AI25" s="25">
        <v>9.7850000000000001</v>
      </c>
      <c r="AJ25" s="25">
        <v>10.063000000000001</v>
      </c>
      <c r="AK25" s="25">
        <v>11.090999999999999</v>
      </c>
      <c r="AL25" s="25">
        <v>12.451000000000001</v>
      </c>
      <c r="AM25" s="25">
        <v>16.771999999999998</v>
      </c>
      <c r="AN25" s="25">
        <v>16.649000000000001</v>
      </c>
      <c r="AO25" s="25">
        <v>9.7850000000000001</v>
      </c>
      <c r="AP25" s="25">
        <v>2.508</v>
      </c>
      <c r="AQ25" s="25">
        <v>5.42</v>
      </c>
      <c r="AR25" s="25">
        <v>9.7850000000000001</v>
      </c>
      <c r="AS25" s="25">
        <v>9.7850000000000001</v>
      </c>
      <c r="AT25" s="25">
        <v>9.7850000000000001</v>
      </c>
      <c r="AU25" s="25">
        <v>6.5389999999999997</v>
      </c>
      <c r="AV25" s="25">
        <v>9.7850000000000001</v>
      </c>
      <c r="AW25" s="25">
        <v>10.869</v>
      </c>
      <c r="AX25" s="25">
        <v>13.273</v>
      </c>
      <c r="AY25" s="25">
        <v>9.7850000000000001</v>
      </c>
      <c r="AZ25" s="25">
        <v>10.875</v>
      </c>
      <c r="BA25" s="25">
        <v>9.7850000000000001</v>
      </c>
      <c r="BB25" s="25">
        <v>10.657999999999999</v>
      </c>
      <c r="BC25" s="25">
        <v>9.7850000000000001</v>
      </c>
      <c r="BD25" s="25">
        <v>10.298999999999999</v>
      </c>
      <c r="BE25" s="25">
        <v>9.7850000000000001</v>
      </c>
      <c r="BF25" s="25">
        <v>28.484999999999999</v>
      </c>
      <c r="BG25" s="25">
        <v>9.7850000000000001</v>
      </c>
      <c r="BH25" s="25">
        <v>9.7850000000000001</v>
      </c>
      <c r="BI25" s="25">
        <v>22.36</v>
      </c>
      <c r="BJ25" s="25">
        <v>9.7850000000000001</v>
      </c>
      <c r="BK25" s="25">
        <v>9.7850000000000001</v>
      </c>
      <c r="BL25" s="25">
        <v>9.7850000000000001</v>
      </c>
      <c r="BM25" s="25">
        <v>9.7850000000000001</v>
      </c>
      <c r="BN25" s="25">
        <v>9.7850000000000001</v>
      </c>
      <c r="BO25" s="25">
        <v>9.7850000000000001</v>
      </c>
      <c r="BP25" s="25">
        <v>12.643000000000001</v>
      </c>
      <c r="BQ25" s="25">
        <v>8.782</v>
      </c>
      <c r="BR25" s="25">
        <v>9.7850000000000001</v>
      </c>
      <c r="BS25" s="25">
        <v>9.7850000000000001</v>
      </c>
      <c r="BT25" s="25">
        <v>9.7850000000000001</v>
      </c>
      <c r="BU25" s="25">
        <v>14.465999999999999</v>
      </c>
      <c r="BV25" s="25">
        <v>9.7850000000000001</v>
      </c>
      <c r="BW25" s="25">
        <v>9.7850000000000001</v>
      </c>
      <c r="BX25" s="25">
        <v>14.993</v>
      </c>
      <c r="BY25" s="25">
        <v>8.4819999999999993</v>
      </c>
      <c r="BZ25" s="25">
        <v>8.5470000000000006</v>
      </c>
      <c r="CA25" s="25">
        <v>9.7850000000000001</v>
      </c>
      <c r="CB25" s="25">
        <v>9.7850000000000001</v>
      </c>
      <c r="CC25" s="25">
        <v>1.84</v>
      </c>
      <c r="CD25" s="25">
        <v>0</v>
      </c>
      <c r="CE25" s="25">
        <v>9.7850000000000001</v>
      </c>
      <c r="CF25" s="25">
        <v>8.2530000000000001</v>
      </c>
      <c r="CG25" s="25">
        <v>12.977</v>
      </c>
      <c r="CH25" s="25">
        <v>9.7850000000000001</v>
      </c>
      <c r="CI25" s="25">
        <v>9.7850000000000001</v>
      </c>
      <c r="CJ25" s="25">
        <v>9.7850000000000001</v>
      </c>
      <c r="CK25" s="25">
        <v>9.7850000000000001</v>
      </c>
      <c r="CL25" s="25">
        <v>9.7850000000000001</v>
      </c>
      <c r="CM25" s="25">
        <v>9.7850000000000001</v>
      </c>
      <c r="CN25" s="25">
        <v>9.7850000000000001</v>
      </c>
      <c r="CO25" s="25">
        <v>9.7850000000000001</v>
      </c>
      <c r="CP25" s="25">
        <v>9.7850000000000001</v>
      </c>
      <c r="CQ25" s="25">
        <v>9.7850000000000001</v>
      </c>
      <c r="CR25" s="25">
        <v>9.7850000000000001</v>
      </c>
      <c r="CS25" s="25">
        <v>41.058999999999997</v>
      </c>
      <c r="CT25" s="25">
        <v>9.7850000000000001</v>
      </c>
      <c r="CU25" s="25">
        <v>9.7850000000000001</v>
      </c>
      <c r="CV25" s="25">
        <v>13.571999999999999</v>
      </c>
      <c r="CW25" s="25">
        <v>9.7850000000000001</v>
      </c>
      <c r="CX25" s="25">
        <v>9.7850000000000001</v>
      </c>
      <c r="CY25" s="25">
        <v>9.7850000000000001</v>
      </c>
      <c r="CZ25" s="25">
        <v>13.747</v>
      </c>
      <c r="DA25" s="25">
        <v>12.647</v>
      </c>
      <c r="DB25" s="25">
        <v>4.423</v>
      </c>
      <c r="DC25" s="25">
        <v>3.7559999999999998</v>
      </c>
      <c r="DD25" s="25">
        <v>6.8639999999999999</v>
      </c>
      <c r="DE25" s="25">
        <v>27</v>
      </c>
      <c r="DF25" s="25">
        <v>9.7850000000000001</v>
      </c>
      <c r="DG25" s="25">
        <v>4.5960000000000001</v>
      </c>
      <c r="DH25" s="25">
        <v>26.405999999999999</v>
      </c>
      <c r="DI25" s="25">
        <v>9.7850000000000001</v>
      </c>
      <c r="DJ25" s="25">
        <v>9.7850000000000001</v>
      </c>
      <c r="DK25" s="25">
        <v>12.605</v>
      </c>
      <c r="DL25" s="25">
        <v>9.7850000000000001</v>
      </c>
      <c r="DM25" s="25">
        <v>27</v>
      </c>
      <c r="DN25" s="25">
        <v>9.7850000000000001</v>
      </c>
      <c r="DO25" s="25">
        <v>9.7850000000000001</v>
      </c>
      <c r="DP25" s="25">
        <v>9.7850000000000001</v>
      </c>
      <c r="DQ25" s="25">
        <v>9.7850000000000001</v>
      </c>
      <c r="DR25" s="25">
        <v>9.7850000000000001</v>
      </c>
      <c r="DS25" s="25">
        <v>9.7850000000000001</v>
      </c>
      <c r="DT25" s="25">
        <v>9.7850000000000001</v>
      </c>
      <c r="DU25" s="25">
        <v>6.0019999999999998</v>
      </c>
      <c r="DV25" s="25">
        <v>9.7850000000000001</v>
      </c>
      <c r="DW25" s="25">
        <v>18.87</v>
      </c>
      <c r="DX25" s="25">
        <v>21.433</v>
      </c>
      <c r="DY25" s="25">
        <v>9.7850000000000001</v>
      </c>
      <c r="DZ25" s="25">
        <v>21.698</v>
      </c>
      <c r="EA25" s="25">
        <v>9.7850000000000001</v>
      </c>
      <c r="EB25" s="25">
        <v>4.5670000000000002</v>
      </c>
      <c r="EC25" s="25">
        <v>9.7850000000000001</v>
      </c>
      <c r="ED25" s="25">
        <v>9.7850000000000001</v>
      </c>
      <c r="EE25" s="25">
        <v>9.7850000000000001</v>
      </c>
      <c r="EF25" s="25">
        <v>9.7850000000000001</v>
      </c>
      <c r="EG25" s="25">
        <v>4.5570000000000004</v>
      </c>
      <c r="EH25" s="25">
        <v>21.838000000000001</v>
      </c>
      <c r="EI25" s="25">
        <v>9.7850000000000001</v>
      </c>
      <c r="EJ25" s="25">
        <v>12.451000000000001</v>
      </c>
      <c r="EK25" s="25">
        <v>9.7850000000000001</v>
      </c>
      <c r="EL25" s="25">
        <v>9.7850000000000001</v>
      </c>
      <c r="EM25" s="25">
        <v>11.872</v>
      </c>
      <c r="EN25" s="25">
        <v>9.7850000000000001</v>
      </c>
      <c r="EO25" s="25">
        <v>11.185</v>
      </c>
      <c r="EP25" s="25">
        <v>9.7850000000000001</v>
      </c>
      <c r="EQ25" s="25">
        <v>9.7850000000000001</v>
      </c>
      <c r="ER25" s="25">
        <v>34.520000000000003</v>
      </c>
      <c r="ES25" s="25">
        <v>20.888999999999999</v>
      </c>
      <c r="ET25" s="25">
        <v>9.7850000000000001</v>
      </c>
      <c r="EU25" s="25">
        <v>9.7850000000000001</v>
      </c>
      <c r="EV25" s="25">
        <v>9.7850000000000001</v>
      </c>
      <c r="EW25" s="25"/>
    </row>
    <row r="26" spans="1:153" ht="17.25" customHeight="1" x14ac:dyDescent="0.25">
      <c r="A26" s="25" t="s">
        <v>145</v>
      </c>
      <c r="B26" s="25">
        <v>6.3449999999999998</v>
      </c>
      <c r="C26" s="25">
        <v>7.3849999999999998</v>
      </c>
      <c r="D26" s="25">
        <v>8.2880000000000003</v>
      </c>
      <c r="E26" s="25">
        <v>10.836</v>
      </c>
      <c r="F26" s="25">
        <v>11.127000000000001</v>
      </c>
      <c r="G26" s="25">
        <v>17.114999999999998</v>
      </c>
      <c r="H26" s="25">
        <v>17.606999999999999</v>
      </c>
      <c r="I26" s="25">
        <v>17.372</v>
      </c>
      <c r="J26" s="25">
        <v>22.978000000000002</v>
      </c>
      <c r="K26" s="25">
        <v>22.178999999999998</v>
      </c>
      <c r="L26" s="25">
        <v>21.414000000000001</v>
      </c>
      <c r="M26" s="25">
        <v>12.912000000000001</v>
      </c>
      <c r="N26" s="25">
        <v>12.85</v>
      </c>
      <c r="O26" s="25">
        <v>17.312000000000001</v>
      </c>
      <c r="P26" s="25">
        <v>16.273</v>
      </c>
      <c r="Q26" s="25">
        <v>15.491</v>
      </c>
      <c r="R26" s="25">
        <v>14.454000000000001</v>
      </c>
      <c r="S26" s="25">
        <v>13.701000000000001</v>
      </c>
      <c r="T26" s="25">
        <v>14.207000000000001</v>
      </c>
      <c r="U26" s="25">
        <v>16.111999999999998</v>
      </c>
      <c r="V26" s="25">
        <v>15.695</v>
      </c>
      <c r="W26" s="25">
        <v>14.968</v>
      </c>
      <c r="X26" s="25">
        <v>23.387</v>
      </c>
      <c r="Y26" s="25">
        <v>2.4180000000000001</v>
      </c>
      <c r="Z26" s="25">
        <v>0</v>
      </c>
      <c r="AA26" s="25">
        <v>2.3159999999999998</v>
      </c>
      <c r="AB26" s="25">
        <v>4.0510000000000002</v>
      </c>
      <c r="AC26" s="25">
        <v>9.32</v>
      </c>
      <c r="AD26" s="25">
        <v>23.140999999999998</v>
      </c>
      <c r="AE26" s="25">
        <v>6.6529999999999996</v>
      </c>
      <c r="AF26" s="25">
        <v>19.721</v>
      </c>
      <c r="AG26" s="25">
        <v>20.010000000000002</v>
      </c>
      <c r="AH26" s="25">
        <v>7.3849999999999998</v>
      </c>
      <c r="AI26" s="25">
        <v>17.312000000000001</v>
      </c>
      <c r="AJ26" s="25">
        <v>17.606999999999999</v>
      </c>
      <c r="AK26" s="25">
        <v>17.372</v>
      </c>
      <c r="AL26" s="25">
        <v>15.491</v>
      </c>
      <c r="AM26" s="25">
        <v>19.812999999999999</v>
      </c>
      <c r="AN26" s="25">
        <v>19.689</v>
      </c>
      <c r="AO26" s="25">
        <v>17.312000000000001</v>
      </c>
      <c r="AP26" s="25">
        <v>4.9269999999999996</v>
      </c>
      <c r="AQ26" s="25">
        <v>9.1010000000000009</v>
      </c>
      <c r="AR26" s="25">
        <v>17.312000000000001</v>
      </c>
      <c r="AS26" s="25">
        <v>17.312000000000001</v>
      </c>
      <c r="AT26" s="25">
        <v>17.312000000000001</v>
      </c>
      <c r="AU26" s="25">
        <v>8.9580000000000002</v>
      </c>
      <c r="AV26" s="25">
        <v>17.312000000000001</v>
      </c>
      <c r="AW26" s="25">
        <v>13.909000000000001</v>
      </c>
      <c r="AX26" s="25">
        <v>15.692</v>
      </c>
      <c r="AY26" s="25">
        <v>17.312000000000001</v>
      </c>
      <c r="AZ26" s="25">
        <v>13.294</v>
      </c>
      <c r="BA26" s="25">
        <v>17.312000000000001</v>
      </c>
      <c r="BB26" s="25">
        <v>16.376000000000001</v>
      </c>
      <c r="BC26" s="25">
        <v>17.312000000000001</v>
      </c>
      <c r="BD26" s="25">
        <v>12.718</v>
      </c>
      <c r="BE26" s="25">
        <v>17.312000000000001</v>
      </c>
      <c r="BF26" s="25">
        <v>26.19</v>
      </c>
      <c r="BG26" s="25">
        <v>17.312000000000001</v>
      </c>
      <c r="BH26" s="25">
        <v>17.312000000000001</v>
      </c>
      <c r="BI26" s="25">
        <v>14.153</v>
      </c>
      <c r="BJ26" s="25">
        <v>17.312000000000001</v>
      </c>
      <c r="BK26" s="25">
        <v>17.312000000000001</v>
      </c>
      <c r="BL26" s="25">
        <v>17.312000000000001</v>
      </c>
      <c r="BM26" s="25">
        <v>17.312000000000001</v>
      </c>
      <c r="BN26" s="25">
        <v>17.312000000000001</v>
      </c>
      <c r="BO26" s="25">
        <v>17.312000000000001</v>
      </c>
      <c r="BP26" s="25">
        <v>15.683</v>
      </c>
      <c r="BQ26" s="25">
        <v>11.238</v>
      </c>
      <c r="BR26" s="25">
        <v>17.312000000000001</v>
      </c>
      <c r="BS26" s="25">
        <v>17.312000000000001</v>
      </c>
      <c r="BT26" s="25">
        <v>17.312000000000001</v>
      </c>
      <c r="BU26" s="25">
        <v>12.545999999999999</v>
      </c>
      <c r="BV26" s="25">
        <v>17.312000000000001</v>
      </c>
      <c r="BW26" s="25">
        <v>17.312000000000001</v>
      </c>
      <c r="BX26" s="25">
        <v>18.033000000000001</v>
      </c>
      <c r="BY26" s="25">
        <v>10.901</v>
      </c>
      <c r="BZ26" s="25">
        <v>11.276</v>
      </c>
      <c r="CA26" s="25">
        <v>17.312000000000001</v>
      </c>
      <c r="CB26" s="25">
        <v>17.312000000000001</v>
      </c>
      <c r="CC26" s="25">
        <v>4.258</v>
      </c>
      <c r="CD26" s="25">
        <v>2.4180000000000001</v>
      </c>
      <c r="CE26" s="25">
        <v>17.312000000000001</v>
      </c>
      <c r="CF26" s="25">
        <v>5.6689999999999996</v>
      </c>
      <c r="CG26" s="25">
        <v>11.042</v>
      </c>
      <c r="CH26" s="25">
        <v>17.312000000000001</v>
      </c>
      <c r="CI26" s="25">
        <v>17.312000000000001</v>
      </c>
      <c r="CJ26" s="25">
        <v>17.312000000000001</v>
      </c>
      <c r="CK26" s="25">
        <v>17.312000000000001</v>
      </c>
      <c r="CL26" s="25">
        <v>17.312000000000001</v>
      </c>
      <c r="CM26" s="25">
        <v>17.312000000000001</v>
      </c>
      <c r="CN26" s="25">
        <v>17.312000000000001</v>
      </c>
      <c r="CO26" s="25">
        <v>17.312000000000001</v>
      </c>
      <c r="CP26" s="25">
        <v>17.312000000000001</v>
      </c>
      <c r="CQ26" s="25">
        <v>17.312000000000001</v>
      </c>
      <c r="CR26" s="25">
        <v>17.312000000000001</v>
      </c>
      <c r="CS26" s="25">
        <v>37.700000000000003</v>
      </c>
      <c r="CT26" s="25">
        <v>17.312000000000001</v>
      </c>
      <c r="CU26" s="25">
        <v>17.312000000000001</v>
      </c>
      <c r="CV26" s="25">
        <v>16.611999999999998</v>
      </c>
      <c r="CW26" s="25">
        <v>17.312000000000001</v>
      </c>
      <c r="CX26" s="25">
        <v>17.312000000000001</v>
      </c>
      <c r="CY26" s="25">
        <v>17.312000000000001</v>
      </c>
      <c r="CZ26" s="25">
        <v>11.827</v>
      </c>
      <c r="DA26" s="25">
        <v>15.686999999999999</v>
      </c>
      <c r="DB26" s="25">
        <v>3.4889999999999999</v>
      </c>
      <c r="DC26" s="25">
        <v>2.8220000000000001</v>
      </c>
      <c r="DD26" s="25">
        <v>9.2829999999999995</v>
      </c>
      <c r="DE26" s="25">
        <v>30.041</v>
      </c>
      <c r="DF26" s="25">
        <v>17.312000000000001</v>
      </c>
      <c r="DG26" s="25">
        <v>8.6880000000000006</v>
      </c>
      <c r="DH26" s="25">
        <v>24.111000000000001</v>
      </c>
      <c r="DI26" s="25">
        <v>17.312000000000001</v>
      </c>
      <c r="DJ26" s="25">
        <v>17.312000000000001</v>
      </c>
      <c r="DK26" s="25">
        <v>15.645</v>
      </c>
      <c r="DL26" s="25">
        <v>17.312000000000001</v>
      </c>
      <c r="DM26" s="25">
        <v>30.041</v>
      </c>
      <c r="DN26" s="25">
        <v>17.312000000000001</v>
      </c>
      <c r="DO26" s="25">
        <v>17.312000000000001</v>
      </c>
      <c r="DP26" s="25">
        <v>17.312000000000001</v>
      </c>
      <c r="DQ26" s="25">
        <v>17.312000000000001</v>
      </c>
      <c r="DR26" s="25">
        <v>17.312000000000001</v>
      </c>
      <c r="DS26" s="25">
        <v>17.312000000000001</v>
      </c>
      <c r="DT26" s="25">
        <v>17.312000000000001</v>
      </c>
      <c r="DU26" s="25">
        <v>8.5909999999999993</v>
      </c>
      <c r="DV26" s="25">
        <v>17.312000000000001</v>
      </c>
      <c r="DW26" s="25">
        <v>21.911000000000001</v>
      </c>
      <c r="DX26" s="25">
        <v>24.474</v>
      </c>
      <c r="DY26" s="25">
        <v>17.312000000000001</v>
      </c>
      <c r="DZ26" s="25">
        <v>24.739000000000001</v>
      </c>
      <c r="EA26" s="25">
        <v>17.312000000000001</v>
      </c>
      <c r="EB26" s="25">
        <v>8.6590000000000007</v>
      </c>
      <c r="EC26" s="25">
        <v>17.312000000000001</v>
      </c>
      <c r="ED26" s="25">
        <v>17.312000000000001</v>
      </c>
      <c r="EE26" s="25">
        <v>17.312000000000001</v>
      </c>
      <c r="EF26" s="25">
        <v>17.312000000000001</v>
      </c>
      <c r="EG26" s="25">
        <v>7.1470000000000002</v>
      </c>
      <c r="EH26" s="25">
        <v>24.879000000000001</v>
      </c>
      <c r="EI26" s="25">
        <v>17.312000000000001</v>
      </c>
      <c r="EJ26" s="25">
        <v>15.491</v>
      </c>
      <c r="EK26" s="25">
        <v>17.312000000000001</v>
      </c>
      <c r="EL26" s="25">
        <v>17.312000000000001</v>
      </c>
      <c r="EM26" s="25">
        <v>14.912000000000001</v>
      </c>
      <c r="EN26" s="25">
        <v>17.312000000000001</v>
      </c>
      <c r="EO26" s="25">
        <v>14.225</v>
      </c>
      <c r="EP26" s="25">
        <v>17.312000000000001</v>
      </c>
      <c r="EQ26" s="25">
        <v>17.312000000000001</v>
      </c>
      <c r="ER26" s="25">
        <v>32.225000000000001</v>
      </c>
      <c r="ES26" s="25">
        <v>23.93</v>
      </c>
      <c r="ET26" s="25">
        <v>17.312000000000001</v>
      </c>
      <c r="EU26" s="25">
        <v>17.312000000000001</v>
      </c>
      <c r="EV26" s="25">
        <v>17.312000000000001</v>
      </c>
      <c r="EW26" s="25"/>
    </row>
    <row r="27" spans="1:153" ht="17.25" customHeight="1" x14ac:dyDescent="0.25">
      <c r="A27" s="25" t="s">
        <v>146</v>
      </c>
      <c r="B27" s="25">
        <v>7.4370000000000003</v>
      </c>
      <c r="C27" s="25">
        <v>9.3480000000000008</v>
      </c>
      <c r="D27" s="25">
        <v>10.166</v>
      </c>
      <c r="E27" s="25">
        <v>11.535</v>
      </c>
      <c r="F27" s="25">
        <v>11.811999999999999</v>
      </c>
      <c r="G27" s="25">
        <v>17.846</v>
      </c>
      <c r="H27" s="25">
        <v>18.338000000000001</v>
      </c>
      <c r="I27" s="25">
        <v>18.103000000000002</v>
      </c>
      <c r="J27" s="25">
        <v>23.709</v>
      </c>
      <c r="K27" s="25">
        <v>22.91</v>
      </c>
      <c r="L27" s="25">
        <v>22.145</v>
      </c>
      <c r="M27" s="25">
        <v>15.195</v>
      </c>
      <c r="N27" s="25">
        <v>19.968</v>
      </c>
      <c r="O27" s="25">
        <v>18.042999999999999</v>
      </c>
      <c r="P27" s="25">
        <v>17.004000000000001</v>
      </c>
      <c r="Q27" s="25">
        <v>16.222000000000001</v>
      </c>
      <c r="R27" s="25">
        <v>15.185</v>
      </c>
      <c r="S27" s="25">
        <v>14.432</v>
      </c>
      <c r="T27" s="25">
        <v>14.938000000000001</v>
      </c>
      <c r="U27" s="25">
        <v>16.843</v>
      </c>
      <c r="V27" s="25">
        <v>16.425999999999998</v>
      </c>
      <c r="W27" s="25">
        <v>15.699</v>
      </c>
      <c r="X27" s="25">
        <v>24.117999999999999</v>
      </c>
      <c r="Y27" s="25">
        <v>4.7009999999999996</v>
      </c>
      <c r="Z27" s="25">
        <v>3.5539999999999998</v>
      </c>
      <c r="AA27" s="25">
        <v>0</v>
      </c>
      <c r="AB27" s="25">
        <v>1.7350000000000001</v>
      </c>
      <c r="AC27" s="25">
        <v>7.0039999999999996</v>
      </c>
      <c r="AD27" s="25">
        <v>23.872</v>
      </c>
      <c r="AE27" s="25">
        <v>6.1580000000000004</v>
      </c>
      <c r="AF27" s="25">
        <v>20.452000000000002</v>
      </c>
      <c r="AG27" s="25">
        <v>20.741</v>
      </c>
      <c r="AH27" s="25">
        <v>9.3480000000000008</v>
      </c>
      <c r="AI27" s="25">
        <v>18.042999999999999</v>
      </c>
      <c r="AJ27" s="25">
        <v>18.338000000000001</v>
      </c>
      <c r="AK27" s="25">
        <v>18.103000000000002</v>
      </c>
      <c r="AL27" s="25">
        <v>16.222000000000001</v>
      </c>
      <c r="AM27" s="25">
        <v>20.544</v>
      </c>
      <c r="AN27" s="25">
        <v>20.420000000000002</v>
      </c>
      <c r="AO27" s="25">
        <v>18.042999999999999</v>
      </c>
      <c r="AP27" s="25">
        <v>7.21</v>
      </c>
      <c r="AQ27" s="25">
        <v>8.6059999999999999</v>
      </c>
      <c r="AR27" s="25">
        <v>18.042999999999999</v>
      </c>
      <c r="AS27" s="25">
        <v>18.042999999999999</v>
      </c>
      <c r="AT27" s="25">
        <v>18.042999999999999</v>
      </c>
      <c r="AU27" s="25">
        <v>11.241</v>
      </c>
      <c r="AV27" s="25">
        <v>18.042999999999999</v>
      </c>
      <c r="AW27" s="25">
        <v>14.64</v>
      </c>
      <c r="AX27" s="25">
        <v>17.975000000000001</v>
      </c>
      <c r="AY27" s="25">
        <v>18.042999999999999</v>
      </c>
      <c r="AZ27" s="25">
        <v>19.516999999999999</v>
      </c>
      <c r="BA27" s="25">
        <v>18.042999999999999</v>
      </c>
      <c r="BB27" s="25">
        <v>12.113</v>
      </c>
      <c r="BC27" s="25">
        <v>18.042999999999999</v>
      </c>
      <c r="BD27" s="25">
        <v>18.940999999999999</v>
      </c>
      <c r="BE27" s="25">
        <v>18.042999999999999</v>
      </c>
      <c r="BF27" s="25">
        <v>24.033999999999999</v>
      </c>
      <c r="BG27" s="25">
        <v>18.042999999999999</v>
      </c>
      <c r="BH27" s="25">
        <v>18.042999999999999</v>
      </c>
      <c r="BI27" s="25">
        <v>11.996</v>
      </c>
      <c r="BJ27" s="25">
        <v>18.042999999999999</v>
      </c>
      <c r="BK27" s="25">
        <v>18.042999999999999</v>
      </c>
      <c r="BL27" s="25">
        <v>18.042999999999999</v>
      </c>
      <c r="BM27" s="25">
        <v>18.042999999999999</v>
      </c>
      <c r="BN27" s="25">
        <v>18.042999999999999</v>
      </c>
      <c r="BO27" s="25">
        <v>18.042999999999999</v>
      </c>
      <c r="BP27" s="25">
        <v>16.414000000000001</v>
      </c>
      <c r="BQ27" s="25">
        <v>10.743</v>
      </c>
      <c r="BR27" s="25">
        <v>18.042999999999999</v>
      </c>
      <c r="BS27" s="25">
        <v>18.042999999999999</v>
      </c>
      <c r="BT27" s="25">
        <v>18.042999999999999</v>
      </c>
      <c r="BU27" s="25">
        <v>12.051</v>
      </c>
      <c r="BV27" s="25">
        <v>18.042999999999999</v>
      </c>
      <c r="BW27" s="25">
        <v>18.042999999999999</v>
      </c>
      <c r="BX27" s="25">
        <v>18.763999999999999</v>
      </c>
      <c r="BY27" s="25">
        <v>12.555999999999999</v>
      </c>
      <c r="BZ27" s="25">
        <v>10.781000000000001</v>
      </c>
      <c r="CA27" s="25">
        <v>18.042999999999999</v>
      </c>
      <c r="CB27" s="25">
        <v>18.042999999999999</v>
      </c>
      <c r="CC27" s="25">
        <v>6.5410000000000004</v>
      </c>
      <c r="CD27" s="25">
        <v>4.7009999999999996</v>
      </c>
      <c r="CE27" s="25">
        <v>18.042999999999999</v>
      </c>
      <c r="CF27" s="25">
        <v>3.3530000000000002</v>
      </c>
      <c r="CG27" s="25">
        <v>8.7260000000000009</v>
      </c>
      <c r="CH27" s="25">
        <v>18.042999999999999</v>
      </c>
      <c r="CI27" s="25">
        <v>18.042999999999999</v>
      </c>
      <c r="CJ27" s="25">
        <v>18.042999999999999</v>
      </c>
      <c r="CK27" s="25">
        <v>18.042999999999999</v>
      </c>
      <c r="CL27" s="25">
        <v>18.042999999999999</v>
      </c>
      <c r="CM27" s="25">
        <v>18.042999999999999</v>
      </c>
      <c r="CN27" s="25">
        <v>18.042999999999999</v>
      </c>
      <c r="CO27" s="25">
        <v>18.042999999999999</v>
      </c>
      <c r="CP27" s="25">
        <v>18.042999999999999</v>
      </c>
      <c r="CQ27" s="25">
        <v>18.042999999999999</v>
      </c>
      <c r="CR27" s="25">
        <v>18.042999999999999</v>
      </c>
      <c r="CS27" s="25">
        <v>31.94</v>
      </c>
      <c r="CT27" s="25">
        <v>18.042999999999999</v>
      </c>
      <c r="CU27" s="25">
        <v>18.042999999999999</v>
      </c>
      <c r="CV27" s="25">
        <v>17.343</v>
      </c>
      <c r="CW27" s="25">
        <v>18.042999999999999</v>
      </c>
      <c r="CX27" s="25">
        <v>18.042999999999999</v>
      </c>
      <c r="CY27" s="25">
        <v>18.042999999999999</v>
      </c>
      <c r="CZ27" s="25">
        <v>11.332000000000001</v>
      </c>
      <c r="DA27" s="25">
        <v>11.180999999999999</v>
      </c>
      <c r="DB27" s="25">
        <v>4.7450000000000001</v>
      </c>
      <c r="DC27" s="25">
        <v>4.0780000000000003</v>
      </c>
      <c r="DD27" s="25">
        <v>10.638</v>
      </c>
      <c r="DE27" s="25">
        <v>30.771999999999998</v>
      </c>
      <c r="DF27" s="25">
        <v>18.042999999999999</v>
      </c>
      <c r="DG27" s="25">
        <v>9.4190000000000005</v>
      </c>
      <c r="DH27" s="25">
        <v>21.954999999999998</v>
      </c>
      <c r="DI27" s="25">
        <v>18.042999999999999</v>
      </c>
      <c r="DJ27" s="25">
        <v>18.042999999999999</v>
      </c>
      <c r="DK27" s="25">
        <v>16.376000000000001</v>
      </c>
      <c r="DL27" s="25">
        <v>18.042999999999999</v>
      </c>
      <c r="DM27" s="25">
        <v>30.771999999999998</v>
      </c>
      <c r="DN27" s="25">
        <v>18.042999999999999</v>
      </c>
      <c r="DO27" s="25">
        <v>18.042999999999999</v>
      </c>
      <c r="DP27" s="25">
        <v>18.042999999999999</v>
      </c>
      <c r="DQ27" s="25">
        <v>18.042999999999999</v>
      </c>
      <c r="DR27" s="25">
        <v>18.042999999999999</v>
      </c>
      <c r="DS27" s="25">
        <v>18.042999999999999</v>
      </c>
      <c r="DT27" s="25">
        <v>18.042999999999999</v>
      </c>
      <c r="DU27" s="25">
        <v>8.0960000000000001</v>
      </c>
      <c r="DV27" s="25">
        <v>18.042999999999999</v>
      </c>
      <c r="DW27" s="25">
        <v>22.641999999999999</v>
      </c>
      <c r="DX27" s="25">
        <v>25.204999999999998</v>
      </c>
      <c r="DY27" s="25">
        <v>18.042999999999999</v>
      </c>
      <c r="DZ27" s="25">
        <v>25.47</v>
      </c>
      <c r="EA27" s="25">
        <v>18.042999999999999</v>
      </c>
      <c r="EB27" s="25">
        <v>9.39</v>
      </c>
      <c r="EC27" s="25">
        <v>18.042999999999999</v>
      </c>
      <c r="ED27" s="25">
        <v>18.042999999999999</v>
      </c>
      <c r="EE27" s="25">
        <v>18.042999999999999</v>
      </c>
      <c r="EF27" s="25">
        <v>18.042999999999999</v>
      </c>
      <c r="EG27" s="25">
        <v>6.6520000000000001</v>
      </c>
      <c r="EH27" s="25">
        <v>25.61</v>
      </c>
      <c r="EI27" s="25">
        <v>18.042999999999999</v>
      </c>
      <c r="EJ27" s="25">
        <v>16.222000000000001</v>
      </c>
      <c r="EK27" s="25">
        <v>18.042999999999999</v>
      </c>
      <c r="EL27" s="25">
        <v>18.042999999999999</v>
      </c>
      <c r="EM27" s="25">
        <v>15.643000000000001</v>
      </c>
      <c r="EN27" s="25">
        <v>18.042999999999999</v>
      </c>
      <c r="EO27" s="25">
        <v>14.956</v>
      </c>
      <c r="EP27" s="25">
        <v>18.042999999999999</v>
      </c>
      <c r="EQ27" s="25">
        <v>18.042999999999999</v>
      </c>
      <c r="ER27" s="25">
        <v>30.068999999999999</v>
      </c>
      <c r="ES27" s="25">
        <v>24.661000000000001</v>
      </c>
      <c r="ET27" s="25">
        <v>18.042999999999999</v>
      </c>
      <c r="EU27" s="25">
        <v>18.042999999999999</v>
      </c>
      <c r="EV27" s="25">
        <v>18.042999999999999</v>
      </c>
      <c r="EW27" s="25"/>
    </row>
    <row r="28" spans="1:153" ht="17.25" customHeight="1" x14ac:dyDescent="0.25">
      <c r="A28" s="25" t="s">
        <v>147</v>
      </c>
      <c r="B28" s="25">
        <v>9.0440000000000005</v>
      </c>
      <c r="C28" s="25">
        <v>10.955</v>
      </c>
      <c r="D28" s="25">
        <v>11.773</v>
      </c>
      <c r="E28" s="25">
        <v>13.141999999999999</v>
      </c>
      <c r="F28" s="25">
        <v>13.419</v>
      </c>
      <c r="G28" s="25">
        <v>18.526</v>
      </c>
      <c r="H28" s="25">
        <v>19.018000000000001</v>
      </c>
      <c r="I28" s="25">
        <v>18.783000000000001</v>
      </c>
      <c r="J28" s="25">
        <v>24.388999999999999</v>
      </c>
      <c r="K28" s="25">
        <v>23.59</v>
      </c>
      <c r="L28" s="25">
        <v>22.824999999999999</v>
      </c>
      <c r="M28" s="25">
        <v>16.802</v>
      </c>
      <c r="N28" s="25">
        <v>20.648</v>
      </c>
      <c r="O28" s="25">
        <v>18.722999999999999</v>
      </c>
      <c r="P28" s="25">
        <v>17.684000000000001</v>
      </c>
      <c r="Q28" s="25">
        <v>16.902000000000001</v>
      </c>
      <c r="R28" s="25">
        <v>15.865</v>
      </c>
      <c r="S28" s="25">
        <v>15.112</v>
      </c>
      <c r="T28" s="25">
        <v>15.618</v>
      </c>
      <c r="U28" s="25">
        <v>17.523</v>
      </c>
      <c r="V28" s="25">
        <v>17.106000000000002</v>
      </c>
      <c r="W28" s="25">
        <v>16.379000000000001</v>
      </c>
      <c r="X28" s="25">
        <v>24.797999999999998</v>
      </c>
      <c r="Y28" s="25">
        <v>6.3079999999999998</v>
      </c>
      <c r="Z28" s="25">
        <v>5.1319999999999997</v>
      </c>
      <c r="AA28" s="25">
        <v>2.2519999999999998</v>
      </c>
      <c r="AB28" s="25">
        <v>0</v>
      </c>
      <c r="AC28" s="25">
        <v>5.2690000000000001</v>
      </c>
      <c r="AD28" s="25">
        <v>24.552</v>
      </c>
      <c r="AE28" s="25">
        <v>7.7649999999999997</v>
      </c>
      <c r="AF28" s="25">
        <v>21.132000000000001</v>
      </c>
      <c r="AG28" s="25">
        <v>21.420999999999999</v>
      </c>
      <c r="AH28" s="25">
        <v>10.955</v>
      </c>
      <c r="AI28" s="25">
        <v>18.722999999999999</v>
      </c>
      <c r="AJ28" s="25">
        <v>19.018000000000001</v>
      </c>
      <c r="AK28" s="25">
        <v>18.783000000000001</v>
      </c>
      <c r="AL28" s="25">
        <v>16.902000000000001</v>
      </c>
      <c r="AM28" s="25">
        <v>21.224</v>
      </c>
      <c r="AN28" s="25">
        <v>21.1</v>
      </c>
      <c r="AO28" s="25">
        <v>18.722999999999999</v>
      </c>
      <c r="AP28" s="25">
        <v>8.8170000000000002</v>
      </c>
      <c r="AQ28" s="25">
        <v>10.212999999999999</v>
      </c>
      <c r="AR28" s="25">
        <v>18.722999999999999</v>
      </c>
      <c r="AS28" s="25">
        <v>18.722999999999999</v>
      </c>
      <c r="AT28" s="25">
        <v>18.722999999999999</v>
      </c>
      <c r="AU28" s="25">
        <v>12.848000000000001</v>
      </c>
      <c r="AV28" s="25">
        <v>18.722999999999999</v>
      </c>
      <c r="AW28" s="25">
        <v>15.32</v>
      </c>
      <c r="AX28" s="25">
        <v>19.582000000000001</v>
      </c>
      <c r="AY28" s="25">
        <v>18.722999999999999</v>
      </c>
      <c r="AZ28" s="25">
        <v>20.196999999999999</v>
      </c>
      <c r="BA28" s="25">
        <v>18.722999999999999</v>
      </c>
      <c r="BB28" s="25">
        <v>13.72</v>
      </c>
      <c r="BC28" s="25">
        <v>18.722999999999999</v>
      </c>
      <c r="BD28" s="25">
        <v>19.620999999999999</v>
      </c>
      <c r="BE28" s="25">
        <v>18.722999999999999</v>
      </c>
      <c r="BF28" s="25">
        <v>25.207999999999998</v>
      </c>
      <c r="BG28" s="25">
        <v>18.722999999999999</v>
      </c>
      <c r="BH28" s="25">
        <v>18.722999999999999</v>
      </c>
      <c r="BI28" s="25">
        <v>13.87</v>
      </c>
      <c r="BJ28" s="25">
        <v>18.722999999999999</v>
      </c>
      <c r="BK28" s="25">
        <v>18.722999999999999</v>
      </c>
      <c r="BL28" s="25">
        <v>18.722999999999999</v>
      </c>
      <c r="BM28" s="25">
        <v>18.722999999999999</v>
      </c>
      <c r="BN28" s="25">
        <v>18.722999999999999</v>
      </c>
      <c r="BO28" s="25">
        <v>18.722999999999999</v>
      </c>
      <c r="BP28" s="25">
        <v>17.094000000000001</v>
      </c>
      <c r="BQ28" s="25">
        <v>12.35</v>
      </c>
      <c r="BR28" s="25">
        <v>18.722999999999999</v>
      </c>
      <c r="BS28" s="25">
        <v>18.722999999999999</v>
      </c>
      <c r="BT28" s="25">
        <v>18.722999999999999</v>
      </c>
      <c r="BU28" s="25">
        <v>13.657999999999999</v>
      </c>
      <c r="BV28" s="25">
        <v>18.722999999999999</v>
      </c>
      <c r="BW28" s="25">
        <v>18.722999999999999</v>
      </c>
      <c r="BX28" s="25">
        <v>19.443999999999999</v>
      </c>
      <c r="BY28" s="25">
        <v>14.163</v>
      </c>
      <c r="BZ28" s="25">
        <v>12.388</v>
      </c>
      <c r="CA28" s="25">
        <v>18.722999999999999</v>
      </c>
      <c r="CB28" s="25">
        <v>18.722999999999999</v>
      </c>
      <c r="CC28" s="25">
        <v>8.1479999999999997</v>
      </c>
      <c r="CD28" s="25">
        <v>6.3079999999999998</v>
      </c>
      <c r="CE28" s="25">
        <v>18.722999999999999</v>
      </c>
      <c r="CF28" s="25">
        <v>3.0950000000000002</v>
      </c>
      <c r="CG28" s="25">
        <v>6.9909999999999997</v>
      </c>
      <c r="CH28" s="25">
        <v>18.722999999999999</v>
      </c>
      <c r="CI28" s="25">
        <v>18.722999999999999</v>
      </c>
      <c r="CJ28" s="25">
        <v>18.722999999999999</v>
      </c>
      <c r="CK28" s="25">
        <v>18.722999999999999</v>
      </c>
      <c r="CL28" s="25">
        <v>18.722999999999999</v>
      </c>
      <c r="CM28" s="25">
        <v>18.722999999999999</v>
      </c>
      <c r="CN28" s="25">
        <v>18.722999999999999</v>
      </c>
      <c r="CO28" s="25">
        <v>18.722999999999999</v>
      </c>
      <c r="CP28" s="25">
        <v>18.722999999999999</v>
      </c>
      <c r="CQ28" s="25">
        <v>18.722999999999999</v>
      </c>
      <c r="CR28" s="25">
        <v>18.722999999999999</v>
      </c>
      <c r="CS28" s="25">
        <v>33.814</v>
      </c>
      <c r="CT28" s="25">
        <v>18.722999999999999</v>
      </c>
      <c r="CU28" s="25">
        <v>18.722999999999999</v>
      </c>
      <c r="CV28" s="25">
        <v>18.023</v>
      </c>
      <c r="CW28" s="25">
        <v>18.722999999999999</v>
      </c>
      <c r="CX28" s="25">
        <v>18.722999999999999</v>
      </c>
      <c r="CY28" s="25">
        <v>18.722999999999999</v>
      </c>
      <c r="CZ28" s="25">
        <v>12.939</v>
      </c>
      <c r="DA28" s="25">
        <v>12.788</v>
      </c>
      <c r="DB28" s="25">
        <v>4.3639999999999999</v>
      </c>
      <c r="DC28" s="25">
        <v>4.5949999999999998</v>
      </c>
      <c r="DD28" s="25">
        <v>12.244999999999999</v>
      </c>
      <c r="DE28" s="25">
        <v>31.452000000000002</v>
      </c>
      <c r="DF28" s="25">
        <v>18.722999999999999</v>
      </c>
      <c r="DG28" s="25">
        <v>10.099</v>
      </c>
      <c r="DH28" s="25">
        <v>23.129000000000001</v>
      </c>
      <c r="DI28" s="25">
        <v>18.722999999999999</v>
      </c>
      <c r="DJ28" s="25">
        <v>18.722999999999999</v>
      </c>
      <c r="DK28" s="25">
        <v>17.056000000000001</v>
      </c>
      <c r="DL28" s="25">
        <v>18.722999999999999</v>
      </c>
      <c r="DM28" s="25">
        <v>31.452000000000002</v>
      </c>
      <c r="DN28" s="25">
        <v>18.722999999999999</v>
      </c>
      <c r="DO28" s="25">
        <v>18.722999999999999</v>
      </c>
      <c r="DP28" s="25">
        <v>18.722999999999999</v>
      </c>
      <c r="DQ28" s="25">
        <v>18.722999999999999</v>
      </c>
      <c r="DR28" s="25">
        <v>18.722999999999999</v>
      </c>
      <c r="DS28" s="25">
        <v>18.722999999999999</v>
      </c>
      <c r="DT28" s="25">
        <v>18.722999999999999</v>
      </c>
      <c r="DU28" s="25">
        <v>9.7029999999999994</v>
      </c>
      <c r="DV28" s="25">
        <v>18.722999999999999</v>
      </c>
      <c r="DW28" s="25">
        <v>23.321999999999999</v>
      </c>
      <c r="DX28" s="25">
        <v>25.885000000000002</v>
      </c>
      <c r="DY28" s="25">
        <v>18.722999999999999</v>
      </c>
      <c r="DZ28" s="25">
        <v>26.15</v>
      </c>
      <c r="EA28" s="25">
        <v>18.722999999999999</v>
      </c>
      <c r="EB28" s="25">
        <v>10.07</v>
      </c>
      <c r="EC28" s="25">
        <v>18.722999999999999</v>
      </c>
      <c r="ED28" s="25">
        <v>18.722999999999999</v>
      </c>
      <c r="EE28" s="25">
        <v>18.722999999999999</v>
      </c>
      <c r="EF28" s="25">
        <v>18.722999999999999</v>
      </c>
      <c r="EG28" s="25">
        <v>8.2590000000000003</v>
      </c>
      <c r="EH28" s="25">
        <v>26.29</v>
      </c>
      <c r="EI28" s="25">
        <v>18.722999999999999</v>
      </c>
      <c r="EJ28" s="25">
        <v>16.902000000000001</v>
      </c>
      <c r="EK28" s="25">
        <v>18.722999999999999</v>
      </c>
      <c r="EL28" s="25">
        <v>18.722999999999999</v>
      </c>
      <c r="EM28" s="25">
        <v>16.323</v>
      </c>
      <c r="EN28" s="25">
        <v>18.722999999999999</v>
      </c>
      <c r="EO28" s="25">
        <v>15.635999999999999</v>
      </c>
      <c r="EP28" s="25">
        <v>18.722999999999999</v>
      </c>
      <c r="EQ28" s="25">
        <v>18.722999999999999</v>
      </c>
      <c r="ER28" s="25">
        <v>31.242999999999999</v>
      </c>
      <c r="ES28" s="25">
        <v>25.341000000000001</v>
      </c>
      <c r="ET28" s="25">
        <v>18.722999999999999</v>
      </c>
      <c r="EU28" s="25">
        <v>18.722999999999999</v>
      </c>
      <c r="EV28" s="25">
        <v>18.722999999999999</v>
      </c>
      <c r="EW28" s="25"/>
    </row>
    <row r="29" spans="1:153" ht="17.25" customHeight="1" x14ac:dyDescent="0.25">
      <c r="A29" s="25" t="s">
        <v>148</v>
      </c>
      <c r="B29" s="25">
        <v>17.986999999999998</v>
      </c>
      <c r="C29" s="25">
        <v>18.934000000000001</v>
      </c>
      <c r="D29" s="25">
        <v>19.79</v>
      </c>
      <c r="E29" s="25">
        <v>23.78</v>
      </c>
      <c r="F29" s="25">
        <v>23.094999999999999</v>
      </c>
      <c r="G29" s="25">
        <v>24.193999999999999</v>
      </c>
      <c r="H29" s="25">
        <v>24.686</v>
      </c>
      <c r="I29" s="25">
        <v>24.451000000000001</v>
      </c>
      <c r="J29" s="25">
        <v>30.056000000000001</v>
      </c>
      <c r="K29" s="25">
        <v>29.257000000000001</v>
      </c>
      <c r="L29" s="25">
        <v>28.492000000000001</v>
      </c>
      <c r="M29" s="25">
        <v>26.771999999999998</v>
      </c>
      <c r="N29" s="25">
        <v>26.315999999999999</v>
      </c>
      <c r="O29" s="25">
        <v>24.390999999999998</v>
      </c>
      <c r="P29" s="25">
        <v>23.352</v>
      </c>
      <c r="Q29" s="25">
        <v>22.57</v>
      </c>
      <c r="R29" s="25">
        <v>21.533000000000001</v>
      </c>
      <c r="S29" s="25">
        <v>20.78</v>
      </c>
      <c r="T29" s="25">
        <v>21.286000000000001</v>
      </c>
      <c r="U29" s="25">
        <v>23.19</v>
      </c>
      <c r="V29" s="25">
        <v>22.774000000000001</v>
      </c>
      <c r="W29" s="25">
        <v>22.047000000000001</v>
      </c>
      <c r="X29" s="25">
        <v>30.465</v>
      </c>
      <c r="Y29" s="25">
        <v>11.015000000000001</v>
      </c>
      <c r="Z29" s="25">
        <v>9.0190000000000001</v>
      </c>
      <c r="AA29" s="25">
        <v>7.2430000000000003</v>
      </c>
      <c r="AB29" s="25">
        <v>5.6230000000000002</v>
      </c>
      <c r="AC29" s="25">
        <v>0</v>
      </c>
      <c r="AD29" s="25">
        <v>30.219000000000001</v>
      </c>
      <c r="AE29" s="25">
        <v>12.756</v>
      </c>
      <c r="AF29" s="25">
        <v>26.798999999999999</v>
      </c>
      <c r="AG29" s="25">
        <v>27.088000000000001</v>
      </c>
      <c r="AH29" s="25">
        <v>18.934000000000001</v>
      </c>
      <c r="AI29" s="25">
        <v>24.390999999999998</v>
      </c>
      <c r="AJ29" s="25">
        <v>24.686</v>
      </c>
      <c r="AK29" s="25">
        <v>24.451000000000001</v>
      </c>
      <c r="AL29" s="25">
        <v>22.57</v>
      </c>
      <c r="AM29" s="25">
        <v>26.890999999999998</v>
      </c>
      <c r="AN29" s="25">
        <v>26.766999999999999</v>
      </c>
      <c r="AO29" s="25">
        <v>24.390999999999998</v>
      </c>
      <c r="AP29" s="25">
        <v>18.815999999999999</v>
      </c>
      <c r="AQ29" s="25">
        <v>18.506</v>
      </c>
      <c r="AR29" s="25">
        <v>24.390999999999998</v>
      </c>
      <c r="AS29" s="25">
        <v>24.390999999999998</v>
      </c>
      <c r="AT29" s="25">
        <v>24.390999999999998</v>
      </c>
      <c r="AU29" s="25">
        <v>22.818000000000001</v>
      </c>
      <c r="AV29" s="25">
        <v>24.390999999999998</v>
      </c>
      <c r="AW29" s="25">
        <v>20.986999999999998</v>
      </c>
      <c r="AX29" s="25">
        <v>29.552</v>
      </c>
      <c r="AY29" s="25">
        <v>24.390999999999998</v>
      </c>
      <c r="AZ29" s="25">
        <v>25.864999999999998</v>
      </c>
      <c r="BA29" s="25">
        <v>24.390999999999998</v>
      </c>
      <c r="BB29" s="25">
        <v>23.454999999999998</v>
      </c>
      <c r="BC29" s="25">
        <v>24.390999999999998</v>
      </c>
      <c r="BD29" s="25">
        <v>25.289000000000001</v>
      </c>
      <c r="BE29" s="25">
        <v>24.390999999999998</v>
      </c>
      <c r="BF29" s="25">
        <v>18.561</v>
      </c>
      <c r="BG29" s="25">
        <v>24.390999999999998</v>
      </c>
      <c r="BH29" s="25">
        <v>24.390999999999998</v>
      </c>
      <c r="BI29" s="25">
        <v>14.478999999999999</v>
      </c>
      <c r="BJ29" s="25">
        <v>24.390999999999998</v>
      </c>
      <c r="BK29" s="25">
        <v>24.390999999999998</v>
      </c>
      <c r="BL29" s="25">
        <v>24.390999999999998</v>
      </c>
      <c r="BM29" s="25">
        <v>24.390999999999998</v>
      </c>
      <c r="BN29" s="25">
        <v>24.390999999999998</v>
      </c>
      <c r="BO29" s="25">
        <v>24.390999999999998</v>
      </c>
      <c r="BP29" s="25">
        <v>22.760999999999999</v>
      </c>
      <c r="BQ29" s="25">
        <v>20.646999999999998</v>
      </c>
      <c r="BR29" s="25">
        <v>24.390999999999998</v>
      </c>
      <c r="BS29" s="25">
        <v>24.390999999999998</v>
      </c>
      <c r="BT29" s="25">
        <v>24.390999999999998</v>
      </c>
      <c r="BU29" s="25">
        <v>24.584</v>
      </c>
      <c r="BV29" s="25">
        <v>24.390999999999998</v>
      </c>
      <c r="BW29" s="25">
        <v>24.390999999999998</v>
      </c>
      <c r="BX29" s="25">
        <v>25.111999999999998</v>
      </c>
      <c r="BY29" s="25">
        <v>24.356000000000002</v>
      </c>
      <c r="BZ29" s="25">
        <v>20.684999999999999</v>
      </c>
      <c r="CA29" s="25">
        <v>24.390999999999998</v>
      </c>
      <c r="CB29" s="25">
        <v>24.390999999999998</v>
      </c>
      <c r="CC29" s="25">
        <v>12.855</v>
      </c>
      <c r="CD29" s="25">
        <v>11.015000000000001</v>
      </c>
      <c r="CE29" s="25">
        <v>24.390999999999998</v>
      </c>
      <c r="CF29" s="25">
        <v>5.6619999999999999</v>
      </c>
      <c r="CG29" s="25">
        <v>2.5299999999999998</v>
      </c>
      <c r="CH29" s="25">
        <v>24.390999999999998</v>
      </c>
      <c r="CI29" s="25">
        <v>24.390999999999998</v>
      </c>
      <c r="CJ29" s="25">
        <v>24.390999999999998</v>
      </c>
      <c r="CK29" s="25">
        <v>24.390999999999998</v>
      </c>
      <c r="CL29" s="25">
        <v>24.390999999999998</v>
      </c>
      <c r="CM29" s="25">
        <v>24.390999999999998</v>
      </c>
      <c r="CN29" s="25">
        <v>24.390999999999998</v>
      </c>
      <c r="CO29" s="25">
        <v>24.390999999999998</v>
      </c>
      <c r="CP29" s="25">
        <v>24.390999999999998</v>
      </c>
      <c r="CQ29" s="25">
        <v>24.390999999999998</v>
      </c>
      <c r="CR29" s="25">
        <v>24.390999999999998</v>
      </c>
      <c r="CS29" s="25">
        <v>34.423000000000002</v>
      </c>
      <c r="CT29" s="25">
        <v>24.390999999999998</v>
      </c>
      <c r="CU29" s="25">
        <v>24.390999999999998</v>
      </c>
      <c r="CV29" s="25">
        <v>23.690999999999999</v>
      </c>
      <c r="CW29" s="25">
        <v>24.390999999999998</v>
      </c>
      <c r="CX29" s="25">
        <v>24.390999999999998</v>
      </c>
      <c r="CY29" s="25">
        <v>24.390999999999998</v>
      </c>
      <c r="CZ29" s="25">
        <v>23.864999999999998</v>
      </c>
      <c r="DA29" s="25">
        <v>22.765000000000001</v>
      </c>
      <c r="DB29" s="25">
        <v>7.4020000000000001</v>
      </c>
      <c r="DC29" s="25">
        <v>7.6379999999999999</v>
      </c>
      <c r="DD29" s="25">
        <v>20.39</v>
      </c>
      <c r="DE29" s="25">
        <v>37.119</v>
      </c>
      <c r="DF29" s="25">
        <v>24.390999999999998</v>
      </c>
      <c r="DG29" s="25">
        <v>15.766</v>
      </c>
      <c r="DH29" s="25">
        <v>16.481999999999999</v>
      </c>
      <c r="DI29" s="25">
        <v>24.390999999999998</v>
      </c>
      <c r="DJ29" s="25">
        <v>24.390999999999998</v>
      </c>
      <c r="DK29" s="25">
        <v>22.724</v>
      </c>
      <c r="DL29" s="25">
        <v>24.390999999999998</v>
      </c>
      <c r="DM29" s="25">
        <v>37.119</v>
      </c>
      <c r="DN29" s="25">
        <v>24.390999999999998</v>
      </c>
      <c r="DO29" s="25">
        <v>24.390999999999998</v>
      </c>
      <c r="DP29" s="25">
        <v>24.390999999999998</v>
      </c>
      <c r="DQ29" s="25">
        <v>24.390999999999998</v>
      </c>
      <c r="DR29" s="25">
        <v>24.390999999999998</v>
      </c>
      <c r="DS29" s="25">
        <v>24.390999999999998</v>
      </c>
      <c r="DT29" s="25">
        <v>24.390999999999998</v>
      </c>
      <c r="DU29" s="25">
        <v>17.225000000000001</v>
      </c>
      <c r="DV29" s="25">
        <v>24.390999999999998</v>
      </c>
      <c r="DW29" s="25">
        <v>28.989000000000001</v>
      </c>
      <c r="DX29" s="25">
        <v>31.552</v>
      </c>
      <c r="DY29" s="25">
        <v>24.390999999999998</v>
      </c>
      <c r="DZ29" s="25">
        <v>31.817</v>
      </c>
      <c r="EA29" s="25">
        <v>24.390999999999998</v>
      </c>
      <c r="EB29" s="25">
        <v>15.737</v>
      </c>
      <c r="EC29" s="25">
        <v>24.390999999999998</v>
      </c>
      <c r="ED29" s="25">
        <v>24.390999999999998</v>
      </c>
      <c r="EE29" s="25">
        <v>24.390999999999998</v>
      </c>
      <c r="EF29" s="25">
        <v>24.390999999999998</v>
      </c>
      <c r="EG29" s="25">
        <v>16.555</v>
      </c>
      <c r="EH29" s="25">
        <v>31.957000000000001</v>
      </c>
      <c r="EI29" s="25">
        <v>24.390999999999998</v>
      </c>
      <c r="EJ29" s="25">
        <v>22.57</v>
      </c>
      <c r="EK29" s="25">
        <v>24.390999999999998</v>
      </c>
      <c r="EL29" s="25">
        <v>24.390999999999998</v>
      </c>
      <c r="EM29" s="25">
        <v>21.991</v>
      </c>
      <c r="EN29" s="25">
        <v>24.390999999999998</v>
      </c>
      <c r="EO29" s="25">
        <v>21.303000000000001</v>
      </c>
      <c r="EP29" s="25">
        <v>24.390999999999998</v>
      </c>
      <c r="EQ29" s="25">
        <v>24.390999999999998</v>
      </c>
      <c r="ER29" s="25">
        <v>24.596</v>
      </c>
      <c r="ES29" s="25">
        <v>31.007999999999999</v>
      </c>
      <c r="ET29" s="25">
        <v>24.390999999999998</v>
      </c>
      <c r="EU29" s="25">
        <v>24.390999999999998</v>
      </c>
      <c r="EV29" s="25">
        <v>24.390999999999998</v>
      </c>
      <c r="EW29" s="25"/>
    </row>
    <row r="30" spans="1:153" ht="17.25" customHeight="1" x14ac:dyDescent="0.25">
      <c r="A30" s="25" t="s">
        <v>101</v>
      </c>
      <c r="B30" s="25">
        <v>17.053000000000001</v>
      </c>
      <c r="C30" s="25">
        <v>18</v>
      </c>
      <c r="D30" s="25">
        <v>11.896000000000001</v>
      </c>
      <c r="E30" s="25">
        <v>10.509</v>
      </c>
      <c r="F30" s="25">
        <v>12.516</v>
      </c>
      <c r="G30" s="25">
        <v>8.6129999999999995</v>
      </c>
      <c r="H30" s="25">
        <v>7.86</v>
      </c>
      <c r="I30" s="25">
        <v>6.6269999999999998</v>
      </c>
      <c r="J30" s="25">
        <v>6.431</v>
      </c>
      <c r="K30" s="25">
        <v>5.6319999999999997</v>
      </c>
      <c r="L30" s="25">
        <v>4.8659999999999997</v>
      </c>
      <c r="M30" s="25">
        <v>10.967000000000001</v>
      </c>
      <c r="N30" s="25">
        <v>9.5990000000000002</v>
      </c>
      <c r="O30" s="25">
        <v>8.1539999999999999</v>
      </c>
      <c r="P30" s="25">
        <v>8.6929999999999996</v>
      </c>
      <c r="Q30" s="25">
        <v>10.079000000000001</v>
      </c>
      <c r="R30" s="25">
        <v>9.0429999999999993</v>
      </c>
      <c r="S30" s="25">
        <v>8.2899999999999991</v>
      </c>
      <c r="T30" s="25">
        <v>8.5530000000000008</v>
      </c>
      <c r="U30" s="25">
        <v>8.6419999999999995</v>
      </c>
      <c r="V30" s="25">
        <v>9.7100000000000009</v>
      </c>
      <c r="W30" s="25">
        <v>8.9830000000000005</v>
      </c>
      <c r="X30" s="25">
        <v>1.833</v>
      </c>
      <c r="Y30" s="25">
        <v>19.495999999999999</v>
      </c>
      <c r="Z30" s="25">
        <v>20.971</v>
      </c>
      <c r="AA30" s="25">
        <v>20.661999999999999</v>
      </c>
      <c r="AB30" s="25">
        <v>22.396999999999998</v>
      </c>
      <c r="AC30" s="25">
        <v>29.28</v>
      </c>
      <c r="AD30" s="25">
        <v>0</v>
      </c>
      <c r="AE30" s="25">
        <v>17.024999999999999</v>
      </c>
      <c r="AF30" s="25">
        <v>2.1709999999999998</v>
      </c>
      <c r="AG30" s="25">
        <v>3.4620000000000002</v>
      </c>
      <c r="AH30" s="25">
        <v>18</v>
      </c>
      <c r="AI30" s="25">
        <v>8.1539999999999999</v>
      </c>
      <c r="AJ30" s="25">
        <v>7.86</v>
      </c>
      <c r="AK30" s="25">
        <v>6.6269999999999998</v>
      </c>
      <c r="AL30" s="25">
        <v>10.079000000000001</v>
      </c>
      <c r="AM30" s="25">
        <v>3.286</v>
      </c>
      <c r="AN30" s="25">
        <v>12.645</v>
      </c>
      <c r="AO30" s="25">
        <v>8.1539999999999999</v>
      </c>
      <c r="AP30" s="25">
        <v>17.882000000000001</v>
      </c>
      <c r="AQ30" s="25">
        <v>17.571999999999999</v>
      </c>
      <c r="AR30" s="25">
        <v>8.1539999999999999</v>
      </c>
      <c r="AS30" s="25">
        <v>8.1539999999999999</v>
      </c>
      <c r="AT30" s="25">
        <v>8.1539999999999999</v>
      </c>
      <c r="AU30" s="25">
        <v>12.236000000000001</v>
      </c>
      <c r="AV30" s="25">
        <v>8.1539999999999999</v>
      </c>
      <c r="AW30" s="25">
        <v>10.869</v>
      </c>
      <c r="AX30" s="25">
        <v>13.781000000000001</v>
      </c>
      <c r="AY30" s="25">
        <v>8.1539999999999999</v>
      </c>
      <c r="AZ30" s="25">
        <v>9.1479999999999997</v>
      </c>
      <c r="BA30" s="25">
        <v>8.1539999999999999</v>
      </c>
      <c r="BB30" s="25">
        <v>8.7629999999999999</v>
      </c>
      <c r="BC30" s="25">
        <v>8.1539999999999999</v>
      </c>
      <c r="BD30" s="25">
        <v>8.5719999999999992</v>
      </c>
      <c r="BE30" s="25">
        <v>8.1539999999999999</v>
      </c>
      <c r="BF30" s="25">
        <v>42.411999999999999</v>
      </c>
      <c r="BG30" s="25">
        <v>8.1539999999999999</v>
      </c>
      <c r="BH30" s="25">
        <v>8.1539999999999999</v>
      </c>
      <c r="BI30" s="25">
        <v>30.591999999999999</v>
      </c>
      <c r="BJ30" s="25">
        <v>8.1539999999999999</v>
      </c>
      <c r="BK30" s="25">
        <v>8.1539999999999999</v>
      </c>
      <c r="BL30" s="25">
        <v>8.1539999999999999</v>
      </c>
      <c r="BM30" s="25">
        <v>8.1539999999999999</v>
      </c>
      <c r="BN30" s="25">
        <v>8.1539999999999999</v>
      </c>
      <c r="BO30" s="25">
        <v>8.1539999999999999</v>
      </c>
      <c r="BP30" s="25">
        <v>10.528</v>
      </c>
      <c r="BQ30" s="25">
        <v>12.409000000000001</v>
      </c>
      <c r="BR30" s="25">
        <v>8.1539999999999999</v>
      </c>
      <c r="BS30" s="25">
        <v>8.1539999999999999</v>
      </c>
      <c r="BT30" s="25">
        <v>8.1539999999999999</v>
      </c>
      <c r="BU30" s="25">
        <v>12.657</v>
      </c>
      <c r="BV30" s="25">
        <v>8.1539999999999999</v>
      </c>
      <c r="BW30" s="25">
        <v>8.1539999999999999</v>
      </c>
      <c r="BX30" s="25">
        <v>5.508</v>
      </c>
      <c r="BY30" s="25">
        <v>10.196</v>
      </c>
      <c r="BZ30" s="25">
        <v>10.634</v>
      </c>
      <c r="CA30" s="25">
        <v>8.1539999999999999</v>
      </c>
      <c r="CB30" s="25">
        <v>8.1539999999999999</v>
      </c>
      <c r="CC30" s="25">
        <v>18.591000000000001</v>
      </c>
      <c r="CD30" s="25">
        <v>19.495999999999999</v>
      </c>
      <c r="CE30" s="25">
        <v>8.1539999999999999</v>
      </c>
      <c r="CF30" s="25">
        <v>22.619</v>
      </c>
      <c r="CG30" s="25">
        <v>30.678999999999998</v>
      </c>
      <c r="CH30" s="25">
        <v>8.1539999999999999</v>
      </c>
      <c r="CI30" s="25">
        <v>8.1539999999999999</v>
      </c>
      <c r="CJ30" s="25">
        <v>8.1539999999999999</v>
      </c>
      <c r="CK30" s="25">
        <v>8.1539999999999999</v>
      </c>
      <c r="CL30" s="25">
        <v>8.1539999999999999</v>
      </c>
      <c r="CM30" s="25">
        <v>8.1539999999999999</v>
      </c>
      <c r="CN30" s="25">
        <v>8.1539999999999999</v>
      </c>
      <c r="CO30" s="25">
        <v>8.1539999999999999</v>
      </c>
      <c r="CP30" s="25">
        <v>8.1539999999999999</v>
      </c>
      <c r="CQ30" s="25">
        <v>8.1539999999999999</v>
      </c>
      <c r="CR30" s="25">
        <v>8.1539999999999999</v>
      </c>
      <c r="CS30" s="25">
        <v>49.292000000000002</v>
      </c>
      <c r="CT30" s="25">
        <v>8.1539999999999999</v>
      </c>
      <c r="CU30" s="25">
        <v>8.1539999999999999</v>
      </c>
      <c r="CV30" s="25">
        <v>6.577</v>
      </c>
      <c r="CW30" s="25">
        <v>8.1539999999999999</v>
      </c>
      <c r="CX30" s="25">
        <v>8.1539999999999999</v>
      </c>
      <c r="CY30" s="25">
        <v>8.1539999999999999</v>
      </c>
      <c r="CZ30" s="25">
        <v>11.938000000000001</v>
      </c>
      <c r="DA30" s="25">
        <v>11.061</v>
      </c>
      <c r="DB30" s="25">
        <v>23.099</v>
      </c>
      <c r="DC30" s="25">
        <v>22.431999999999999</v>
      </c>
      <c r="DD30" s="25">
        <v>11.916</v>
      </c>
      <c r="DE30" s="25">
        <v>11.643000000000001</v>
      </c>
      <c r="DF30" s="25">
        <v>8.1539999999999999</v>
      </c>
      <c r="DG30" s="25">
        <v>14.797000000000001</v>
      </c>
      <c r="DH30" s="25">
        <v>40.332999999999998</v>
      </c>
      <c r="DI30" s="25">
        <v>8.1539999999999999</v>
      </c>
      <c r="DJ30" s="25">
        <v>8.1539999999999999</v>
      </c>
      <c r="DK30" s="25">
        <v>8.5429999999999993</v>
      </c>
      <c r="DL30" s="25">
        <v>8.1539999999999999</v>
      </c>
      <c r="DM30" s="25">
        <v>11.643000000000001</v>
      </c>
      <c r="DN30" s="25">
        <v>8.1539999999999999</v>
      </c>
      <c r="DO30" s="25">
        <v>8.1539999999999999</v>
      </c>
      <c r="DP30" s="25">
        <v>8.1539999999999999</v>
      </c>
      <c r="DQ30" s="25">
        <v>8.1539999999999999</v>
      </c>
      <c r="DR30" s="25">
        <v>8.1539999999999999</v>
      </c>
      <c r="DS30" s="25">
        <v>8.1539999999999999</v>
      </c>
      <c r="DT30" s="25">
        <v>8.1539999999999999</v>
      </c>
      <c r="DU30" s="25">
        <v>17.055</v>
      </c>
      <c r="DV30" s="25">
        <v>8.1539999999999999</v>
      </c>
      <c r="DW30" s="25">
        <v>1.482</v>
      </c>
      <c r="DX30" s="25">
        <v>8.7810000000000006</v>
      </c>
      <c r="DY30" s="25">
        <v>8.1539999999999999</v>
      </c>
      <c r="DZ30" s="25">
        <v>9.0459999999999994</v>
      </c>
      <c r="EA30" s="25">
        <v>8.1539999999999999</v>
      </c>
      <c r="EB30" s="25">
        <v>14.768000000000001</v>
      </c>
      <c r="EC30" s="25">
        <v>8.1539999999999999</v>
      </c>
      <c r="ED30" s="25">
        <v>8.1539999999999999</v>
      </c>
      <c r="EE30" s="25">
        <v>8.1539999999999999</v>
      </c>
      <c r="EF30" s="25">
        <v>8.1539999999999999</v>
      </c>
      <c r="EG30" s="25">
        <v>15.61</v>
      </c>
      <c r="EH30" s="25">
        <v>8.0259999999999998</v>
      </c>
      <c r="EI30" s="25">
        <v>8.1539999999999999</v>
      </c>
      <c r="EJ30" s="25">
        <v>10.079000000000001</v>
      </c>
      <c r="EK30" s="25">
        <v>8.1539999999999999</v>
      </c>
      <c r="EL30" s="25">
        <v>8.1539999999999999</v>
      </c>
      <c r="EM30" s="25">
        <v>8.7899999999999991</v>
      </c>
      <c r="EN30" s="25">
        <v>8.1539999999999999</v>
      </c>
      <c r="EO30" s="25">
        <v>9.3770000000000007</v>
      </c>
      <c r="EP30" s="25">
        <v>8.1539999999999999</v>
      </c>
      <c r="EQ30" s="25">
        <v>8.1539999999999999</v>
      </c>
      <c r="ER30" s="25">
        <v>48.447000000000003</v>
      </c>
      <c r="ES30" s="25">
        <v>2.3759999999999999</v>
      </c>
      <c r="ET30" s="25">
        <v>8.1539999999999999</v>
      </c>
      <c r="EU30" s="25">
        <v>8.1539999999999999</v>
      </c>
      <c r="EV30" s="25">
        <v>8.1539999999999999</v>
      </c>
      <c r="EW30" s="25"/>
    </row>
    <row r="31" spans="1:153" ht="17.25" customHeight="1" x14ac:dyDescent="0.25">
      <c r="A31" s="25" t="s">
        <v>149</v>
      </c>
      <c r="B31" s="25">
        <v>1.835</v>
      </c>
      <c r="C31" s="25">
        <v>2.9359999999999999</v>
      </c>
      <c r="D31" s="25">
        <v>3.839</v>
      </c>
      <c r="E31" s="25">
        <v>5.0209999999999999</v>
      </c>
      <c r="F31" s="25">
        <v>5.7149999999999999</v>
      </c>
      <c r="G31" s="25">
        <v>6.7469999999999999</v>
      </c>
      <c r="H31" s="25">
        <v>7.5010000000000003</v>
      </c>
      <c r="I31" s="25">
        <v>12.079000000000001</v>
      </c>
      <c r="J31" s="25">
        <v>17.684000000000001</v>
      </c>
      <c r="K31" s="25">
        <v>16.885000000000002</v>
      </c>
      <c r="L31" s="25">
        <v>16.12</v>
      </c>
      <c r="M31" s="25">
        <v>9.3079999999999998</v>
      </c>
      <c r="N31" s="25">
        <v>9.2460000000000004</v>
      </c>
      <c r="O31" s="25">
        <v>7.2069999999999999</v>
      </c>
      <c r="P31" s="25">
        <v>7.6340000000000003</v>
      </c>
      <c r="Q31" s="25">
        <v>10.198</v>
      </c>
      <c r="R31" s="25">
        <v>9.1609999999999996</v>
      </c>
      <c r="S31" s="25">
        <v>8.4079999999999995</v>
      </c>
      <c r="T31" s="25">
        <v>8.9139999999999997</v>
      </c>
      <c r="U31" s="25">
        <v>10.819000000000001</v>
      </c>
      <c r="V31" s="25">
        <v>10.401999999999999</v>
      </c>
      <c r="W31" s="25">
        <v>9.6750000000000007</v>
      </c>
      <c r="X31" s="25">
        <v>18.093</v>
      </c>
      <c r="Y31" s="25">
        <v>4.2830000000000004</v>
      </c>
      <c r="Z31" s="25">
        <v>5.758</v>
      </c>
      <c r="AA31" s="25">
        <v>6.3550000000000004</v>
      </c>
      <c r="AB31" s="25">
        <v>8.09</v>
      </c>
      <c r="AC31" s="25">
        <v>13.359</v>
      </c>
      <c r="AD31" s="25">
        <v>17.847000000000001</v>
      </c>
      <c r="AE31" s="25">
        <v>0</v>
      </c>
      <c r="AF31" s="25">
        <v>14.427</v>
      </c>
      <c r="AG31" s="25">
        <v>14.715999999999999</v>
      </c>
      <c r="AH31" s="25">
        <v>2.9359999999999999</v>
      </c>
      <c r="AI31" s="25">
        <v>7.2069999999999999</v>
      </c>
      <c r="AJ31" s="25">
        <v>7.5010000000000003</v>
      </c>
      <c r="AK31" s="25">
        <v>12.079000000000001</v>
      </c>
      <c r="AL31" s="25">
        <v>10.198</v>
      </c>
      <c r="AM31" s="25">
        <v>14.519</v>
      </c>
      <c r="AN31" s="25">
        <v>14.396000000000001</v>
      </c>
      <c r="AO31" s="25">
        <v>7.2069999999999999</v>
      </c>
      <c r="AP31" s="25">
        <v>2.1019999999999999</v>
      </c>
      <c r="AQ31" s="25">
        <v>3.137</v>
      </c>
      <c r="AR31" s="25">
        <v>7.2069999999999999</v>
      </c>
      <c r="AS31" s="25">
        <v>7.2069999999999999</v>
      </c>
      <c r="AT31" s="25">
        <v>7.2069999999999999</v>
      </c>
      <c r="AU31" s="25">
        <v>5.3540000000000001</v>
      </c>
      <c r="AV31" s="25">
        <v>7.2069999999999999</v>
      </c>
      <c r="AW31" s="25">
        <v>8.6159999999999997</v>
      </c>
      <c r="AX31" s="25">
        <v>12.087999999999999</v>
      </c>
      <c r="AY31" s="25">
        <v>7.2069999999999999</v>
      </c>
      <c r="AZ31" s="25">
        <v>9.69</v>
      </c>
      <c r="BA31" s="25">
        <v>7.2069999999999999</v>
      </c>
      <c r="BB31" s="25">
        <v>7.7359999999999998</v>
      </c>
      <c r="BC31" s="25">
        <v>7.2069999999999999</v>
      </c>
      <c r="BD31" s="25">
        <v>9.1140000000000008</v>
      </c>
      <c r="BE31" s="25">
        <v>7.2069999999999999</v>
      </c>
      <c r="BF31" s="25">
        <v>31.684999999999999</v>
      </c>
      <c r="BG31" s="25">
        <v>7.2069999999999999</v>
      </c>
      <c r="BH31" s="25">
        <v>7.2069999999999999</v>
      </c>
      <c r="BI31" s="25">
        <v>20.106999999999999</v>
      </c>
      <c r="BJ31" s="25">
        <v>7.2069999999999999</v>
      </c>
      <c r="BK31" s="25">
        <v>7.2069999999999999</v>
      </c>
      <c r="BL31" s="25">
        <v>7.2069999999999999</v>
      </c>
      <c r="BM31" s="25">
        <v>7.2069999999999999</v>
      </c>
      <c r="BN31" s="25">
        <v>7.2069999999999999</v>
      </c>
      <c r="BO31" s="25">
        <v>7.2069999999999999</v>
      </c>
      <c r="BP31" s="25">
        <v>10.39</v>
      </c>
      <c r="BQ31" s="25">
        <v>6.3659999999999997</v>
      </c>
      <c r="BR31" s="25">
        <v>7.2069999999999999</v>
      </c>
      <c r="BS31" s="25">
        <v>7.2069999999999999</v>
      </c>
      <c r="BT31" s="25">
        <v>7.2069999999999999</v>
      </c>
      <c r="BU31" s="25">
        <v>9.6370000000000005</v>
      </c>
      <c r="BV31" s="25">
        <v>7.2069999999999999</v>
      </c>
      <c r="BW31" s="25">
        <v>7.2069999999999999</v>
      </c>
      <c r="BX31" s="25">
        <v>12.74</v>
      </c>
      <c r="BY31" s="25">
        <v>7.2969999999999997</v>
      </c>
      <c r="BZ31" s="25">
        <v>5.6210000000000004</v>
      </c>
      <c r="CA31" s="25">
        <v>7.2069999999999999</v>
      </c>
      <c r="CB31" s="25">
        <v>7.2069999999999999</v>
      </c>
      <c r="CC31" s="25">
        <v>3.3780000000000001</v>
      </c>
      <c r="CD31" s="25">
        <v>4.2830000000000004</v>
      </c>
      <c r="CE31" s="25">
        <v>7.2069999999999999</v>
      </c>
      <c r="CF31" s="25">
        <v>9.7080000000000002</v>
      </c>
      <c r="CG31" s="25">
        <v>19.951000000000001</v>
      </c>
      <c r="CH31" s="25">
        <v>7.2069999999999999</v>
      </c>
      <c r="CI31" s="25">
        <v>7.2069999999999999</v>
      </c>
      <c r="CJ31" s="25">
        <v>7.2069999999999999</v>
      </c>
      <c r="CK31" s="25">
        <v>7.2069999999999999</v>
      </c>
      <c r="CL31" s="25">
        <v>7.2069999999999999</v>
      </c>
      <c r="CM31" s="25">
        <v>7.2069999999999999</v>
      </c>
      <c r="CN31" s="25">
        <v>7.2069999999999999</v>
      </c>
      <c r="CO31" s="25">
        <v>7.2069999999999999</v>
      </c>
      <c r="CP31" s="25">
        <v>7.2069999999999999</v>
      </c>
      <c r="CQ31" s="25">
        <v>7.2069999999999999</v>
      </c>
      <c r="CR31" s="25">
        <v>7.2069999999999999</v>
      </c>
      <c r="CS31" s="25">
        <v>38.807000000000002</v>
      </c>
      <c r="CT31" s="25">
        <v>7.2069999999999999</v>
      </c>
      <c r="CU31" s="25">
        <v>7.2069999999999999</v>
      </c>
      <c r="CV31" s="25">
        <v>11.319000000000001</v>
      </c>
      <c r="CW31" s="25">
        <v>7.2069999999999999</v>
      </c>
      <c r="CX31" s="25">
        <v>7.2069999999999999</v>
      </c>
      <c r="CY31" s="25">
        <v>7.2069999999999999</v>
      </c>
      <c r="CZ31" s="25">
        <v>8.9179999999999993</v>
      </c>
      <c r="DA31" s="25">
        <v>6.8040000000000003</v>
      </c>
      <c r="DB31" s="25">
        <v>7.8860000000000001</v>
      </c>
      <c r="DC31" s="25">
        <v>7.2190000000000003</v>
      </c>
      <c r="DD31" s="25">
        <v>4.3780000000000001</v>
      </c>
      <c r="DE31" s="25">
        <v>24.747</v>
      </c>
      <c r="DF31" s="25">
        <v>7.2069999999999999</v>
      </c>
      <c r="DG31" s="25">
        <v>2.3130000000000002</v>
      </c>
      <c r="DH31" s="25">
        <v>29.606000000000002</v>
      </c>
      <c r="DI31" s="25">
        <v>7.2069999999999999</v>
      </c>
      <c r="DJ31" s="25">
        <v>7.2069999999999999</v>
      </c>
      <c r="DK31" s="25">
        <v>10.352</v>
      </c>
      <c r="DL31" s="25">
        <v>7.2069999999999999</v>
      </c>
      <c r="DM31" s="25">
        <v>24.747</v>
      </c>
      <c r="DN31" s="25">
        <v>7.2069999999999999</v>
      </c>
      <c r="DO31" s="25">
        <v>7.2069999999999999</v>
      </c>
      <c r="DP31" s="25">
        <v>7.2069999999999999</v>
      </c>
      <c r="DQ31" s="25">
        <v>7.2069999999999999</v>
      </c>
      <c r="DR31" s="25">
        <v>7.2069999999999999</v>
      </c>
      <c r="DS31" s="25">
        <v>7.2069999999999999</v>
      </c>
      <c r="DT31" s="25">
        <v>7.2069999999999999</v>
      </c>
      <c r="DU31" s="25">
        <v>3.7189999999999999</v>
      </c>
      <c r="DV31" s="25">
        <v>7.2069999999999999</v>
      </c>
      <c r="DW31" s="25">
        <v>16.617000000000001</v>
      </c>
      <c r="DX31" s="25">
        <v>19.18</v>
      </c>
      <c r="DY31" s="25">
        <v>7.2069999999999999</v>
      </c>
      <c r="DZ31" s="25">
        <v>19.445</v>
      </c>
      <c r="EA31" s="25">
        <v>7.2069999999999999</v>
      </c>
      <c r="EB31" s="25">
        <v>2.2839999999999998</v>
      </c>
      <c r="EC31" s="25">
        <v>7.2069999999999999</v>
      </c>
      <c r="ED31" s="25">
        <v>7.2069999999999999</v>
      </c>
      <c r="EE31" s="25">
        <v>7.2069999999999999</v>
      </c>
      <c r="EF31" s="25">
        <v>7.2069999999999999</v>
      </c>
      <c r="EG31" s="25">
        <v>2.274</v>
      </c>
      <c r="EH31" s="25">
        <v>19.585000000000001</v>
      </c>
      <c r="EI31" s="25">
        <v>7.2069999999999999</v>
      </c>
      <c r="EJ31" s="25">
        <v>10.198</v>
      </c>
      <c r="EK31" s="25">
        <v>7.2069999999999999</v>
      </c>
      <c r="EL31" s="25">
        <v>7.2069999999999999</v>
      </c>
      <c r="EM31" s="25">
        <v>9.6189999999999998</v>
      </c>
      <c r="EN31" s="25">
        <v>7.2069999999999999</v>
      </c>
      <c r="EO31" s="25">
        <v>8.9320000000000004</v>
      </c>
      <c r="EP31" s="25">
        <v>7.2069999999999999</v>
      </c>
      <c r="EQ31" s="25">
        <v>7.2069999999999999</v>
      </c>
      <c r="ER31" s="25">
        <v>37.72</v>
      </c>
      <c r="ES31" s="25">
        <v>18.635999999999999</v>
      </c>
      <c r="ET31" s="25">
        <v>7.2069999999999999</v>
      </c>
      <c r="EU31" s="25">
        <v>7.2069999999999999</v>
      </c>
      <c r="EV31" s="25">
        <v>7.2069999999999999</v>
      </c>
      <c r="EW31" s="25"/>
    </row>
    <row r="32" spans="1:153" ht="17.25" customHeight="1" x14ac:dyDescent="0.25">
      <c r="A32" s="25" t="s">
        <v>150</v>
      </c>
      <c r="B32" s="25">
        <v>15.755000000000001</v>
      </c>
      <c r="C32" s="25">
        <v>10.459</v>
      </c>
      <c r="D32" s="25">
        <v>9.8469999999999995</v>
      </c>
      <c r="E32" s="25">
        <v>8.4600000000000009</v>
      </c>
      <c r="F32" s="25">
        <v>8.57</v>
      </c>
      <c r="G32" s="25">
        <v>6.5640000000000001</v>
      </c>
      <c r="H32" s="25">
        <v>5.8109999999999999</v>
      </c>
      <c r="I32" s="25">
        <v>4.5780000000000003</v>
      </c>
      <c r="J32" s="25">
        <v>4.3819999999999997</v>
      </c>
      <c r="K32" s="25">
        <v>3.5830000000000002</v>
      </c>
      <c r="L32" s="25">
        <v>2.8170000000000002</v>
      </c>
      <c r="M32" s="25">
        <v>8.9179999999999993</v>
      </c>
      <c r="N32" s="25">
        <v>7.55</v>
      </c>
      <c r="O32" s="25">
        <v>6.1050000000000004</v>
      </c>
      <c r="P32" s="25">
        <v>6.6440000000000001</v>
      </c>
      <c r="Q32" s="25">
        <v>8.7810000000000006</v>
      </c>
      <c r="R32" s="25">
        <v>7.7450000000000001</v>
      </c>
      <c r="S32" s="25">
        <v>6.992</v>
      </c>
      <c r="T32" s="25">
        <v>7.2549999999999999</v>
      </c>
      <c r="U32" s="25">
        <v>7.3970000000000002</v>
      </c>
      <c r="V32" s="25">
        <v>8.4120000000000008</v>
      </c>
      <c r="W32" s="25">
        <v>7.6849999999999996</v>
      </c>
      <c r="X32" s="25">
        <v>4.71</v>
      </c>
      <c r="Y32" s="25">
        <v>18.198</v>
      </c>
      <c r="Z32" s="25">
        <v>19.672999999999998</v>
      </c>
      <c r="AA32" s="25">
        <v>19.364000000000001</v>
      </c>
      <c r="AB32" s="25">
        <v>21.099</v>
      </c>
      <c r="AC32" s="25">
        <v>27.981999999999999</v>
      </c>
      <c r="AD32" s="25">
        <v>4.4640000000000004</v>
      </c>
      <c r="AE32" s="25">
        <v>15.727</v>
      </c>
      <c r="AF32" s="25">
        <v>0</v>
      </c>
      <c r="AG32" s="25">
        <v>1.429</v>
      </c>
      <c r="AH32" s="25">
        <v>10.459</v>
      </c>
      <c r="AI32" s="25">
        <v>6.1050000000000004</v>
      </c>
      <c r="AJ32" s="25">
        <v>5.8109999999999999</v>
      </c>
      <c r="AK32" s="25">
        <v>4.5780000000000003</v>
      </c>
      <c r="AL32" s="25">
        <v>8.7810000000000006</v>
      </c>
      <c r="AM32" s="25">
        <v>1.125</v>
      </c>
      <c r="AN32" s="25">
        <v>11.4</v>
      </c>
      <c r="AO32" s="25">
        <v>6.1050000000000004</v>
      </c>
      <c r="AP32" s="25">
        <v>16.584</v>
      </c>
      <c r="AQ32" s="25">
        <v>16.274000000000001</v>
      </c>
      <c r="AR32" s="25">
        <v>6.1050000000000004</v>
      </c>
      <c r="AS32" s="25">
        <v>6.1050000000000004</v>
      </c>
      <c r="AT32" s="25">
        <v>6.1050000000000004</v>
      </c>
      <c r="AU32" s="25">
        <v>10.186999999999999</v>
      </c>
      <c r="AV32" s="25">
        <v>6.1050000000000004</v>
      </c>
      <c r="AW32" s="25">
        <v>9.5709999999999997</v>
      </c>
      <c r="AX32" s="25">
        <v>11.731999999999999</v>
      </c>
      <c r="AY32" s="25">
        <v>6.1050000000000004</v>
      </c>
      <c r="AZ32" s="25">
        <v>7.0990000000000002</v>
      </c>
      <c r="BA32" s="25">
        <v>6.1050000000000004</v>
      </c>
      <c r="BB32" s="25">
        <v>6.7140000000000004</v>
      </c>
      <c r="BC32" s="25">
        <v>6.1050000000000004</v>
      </c>
      <c r="BD32" s="25">
        <v>6.5229999999999997</v>
      </c>
      <c r="BE32" s="25">
        <v>6.1050000000000004</v>
      </c>
      <c r="BF32" s="25">
        <v>41.113999999999997</v>
      </c>
      <c r="BG32" s="25">
        <v>6.1050000000000004</v>
      </c>
      <c r="BH32" s="25">
        <v>6.1050000000000004</v>
      </c>
      <c r="BI32" s="25">
        <v>29.294</v>
      </c>
      <c r="BJ32" s="25">
        <v>6.1050000000000004</v>
      </c>
      <c r="BK32" s="25">
        <v>6.1050000000000004</v>
      </c>
      <c r="BL32" s="25">
        <v>6.1050000000000004</v>
      </c>
      <c r="BM32" s="25">
        <v>6.1050000000000004</v>
      </c>
      <c r="BN32" s="25">
        <v>6.1050000000000004</v>
      </c>
      <c r="BO32" s="25">
        <v>6.1050000000000004</v>
      </c>
      <c r="BP32" s="25">
        <v>9.23</v>
      </c>
      <c r="BQ32" s="25">
        <v>8.8209999999999997</v>
      </c>
      <c r="BR32" s="25">
        <v>6.1050000000000004</v>
      </c>
      <c r="BS32" s="25">
        <v>6.1050000000000004</v>
      </c>
      <c r="BT32" s="25">
        <v>6.1050000000000004</v>
      </c>
      <c r="BU32" s="25">
        <v>11.359</v>
      </c>
      <c r="BV32" s="25">
        <v>6.1050000000000004</v>
      </c>
      <c r="BW32" s="25">
        <v>6.1050000000000004</v>
      </c>
      <c r="BX32" s="25">
        <v>3.4590000000000001</v>
      </c>
      <c r="BY32" s="25">
        <v>8.1470000000000002</v>
      </c>
      <c r="BZ32" s="25">
        <v>8.5850000000000009</v>
      </c>
      <c r="CA32" s="25">
        <v>6.1050000000000004</v>
      </c>
      <c r="CB32" s="25">
        <v>6.1050000000000004</v>
      </c>
      <c r="CC32" s="25">
        <v>17.292999999999999</v>
      </c>
      <c r="CD32" s="25">
        <v>18.198</v>
      </c>
      <c r="CE32" s="25">
        <v>6.1050000000000004</v>
      </c>
      <c r="CF32" s="25">
        <v>21.321000000000002</v>
      </c>
      <c r="CG32" s="25">
        <v>29.381</v>
      </c>
      <c r="CH32" s="25">
        <v>6.1050000000000004</v>
      </c>
      <c r="CI32" s="25">
        <v>6.1050000000000004</v>
      </c>
      <c r="CJ32" s="25">
        <v>6.1050000000000004</v>
      </c>
      <c r="CK32" s="25">
        <v>6.1050000000000004</v>
      </c>
      <c r="CL32" s="25">
        <v>6.1050000000000004</v>
      </c>
      <c r="CM32" s="25">
        <v>6.1050000000000004</v>
      </c>
      <c r="CN32" s="25">
        <v>6.1050000000000004</v>
      </c>
      <c r="CO32" s="25">
        <v>6.1050000000000004</v>
      </c>
      <c r="CP32" s="25">
        <v>6.1050000000000004</v>
      </c>
      <c r="CQ32" s="25">
        <v>6.1050000000000004</v>
      </c>
      <c r="CR32" s="25">
        <v>6.1050000000000004</v>
      </c>
      <c r="CS32" s="25">
        <v>47.994</v>
      </c>
      <c r="CT32" s="25">
        <v>6.1050000000000004</v>
      </c>
      <c r="CU32" s="25">
        <v>6.1050000000000004</v>
      </c>
      <c r="CV32" s="25">
        <v>4.5279999999999996</v>
      </c>
      <c r="CW32" s="25">
        <v>6.1050000000000004</v>
      </c>
      <c r="CX32" s="25">
        <v>6.1050000000000004</v>
      </c>
      <c r="CY32" s="25">
        <v>6.1050000000000004</v>
      </c>
      <c r="CZ32" s="25">
        <v>10.64</v>
      </c>
      <c r="DA32" s="25">
        <v>7.3159999999999998</v>
      </c>
      <c r="DB32" s="25">
        <v>21.800999999999998</v>
      </c>
      <c r="DC32" s="25">
        <v>21.134</v>
      </c>
      <c r="DD32" s="25">
        <v>9.8670000000000009</v>
      </c>
      <c r="DE32" s="25">
        <v>10.558</v>
      </c>
      <c r="DF32" s="25">
        <v>6.1050000000000004</v>
      </c>
      <c r="DG32" s="25">
        <v>13.499000000000001</v>
      </c>
      <c r="DH32" s="25">
        <v>39.034999999999997</v>
      </c>
      <c r="DI32" s="25">
        <v>6.1050000000000004</v>
      </c>
      <c r="DJ32" s="25">
        <v>6.1050000000000004</v>
      </c>
      <c r="DK32" s="25">
        <v>6.4939999999999998</v>
      </c>
      <c r="DL32" s="25">
        <v>6.1050000000000004</v>
      </c>
      <c r="DM32" s="25">
        <v>10.558</v>
      </c>
      <c r="DN32" s="25">
        <v>6.1050000000000004</v>
      </c>
      <c r="DO32" s="25">
        <v>6.1050000000000004</v>
      </c>
      <c r="DP32" s="25">
        <v>6.1050000000000004</v>
      </c>
      <c r="DQ32" s="25">
        <v>6.1050000000000004</v>
      </c>
      <c r="DR32" s="25">
        <v>6.1050000000000004</v>
      </c>
      <c r="DS32" s="25">
        <v>6.1050000000000004</v>
      </c>
      <c r="DT32" s="25">
        <v>6.1050000000000004</v>
      </c>
      <c r="DU32" s="25">
        <v>15.757</v>
      </c>
      <c r="DV32" s="25">
        <v>6.1050000000000004</v>
      </c>
      <c r="DW32" s="25">
        <v>2.5219999999999998</v>
      </c>
      <c r="DX32" s="25">
        <v>10.141</v>
      </c>
      <c r="DY32" s="25">
        <v>6.1050000000000004</v>
      </c>
      <c r="DZ32" s="25">
        <v>10.406000000000001</v>
      </c>
      <c r="EA32" s="25">
        <v>6.1050000000000004</v>
      </c>
      <c r="EB32" s="25">
        <v>13.47</v>
      </c>
      <c r="EC32" s="25">
        <v>6.1050000000000004</v>
      </c>
      <c r="ED32" s="25">
        <v>6.1050000000000004</v>
      </c>
      <c r="EE32" s="25">
        <v>6.1050000000000004</v>
      </c>
      <c r="EF32" s="25">
        <v>6.1050000000000004</v>
      </c>
      <c r="EG32" s="25">
        <v>14.311999999999999</v>
      </c>
      <c r="EH32" s="25">
        <v>5.8559999999999999</v>
      </c>
      <c r="EI32" s="25">
        <v>6.1050000000000004</v>
      </c>
      <c r="EJ32" s="25">
        <v>8.7810000000000006</v>
      </c>
      <c r="EK32" s="25">
        <v>6.1050000000000004</v>
      </c>
      <c r="EL32" s="25">
        <v>6.1050000000000004</v>
      </c>
      <c r="EM32" s="25">
        <v>7.492</v>
      </c>
      <c r="EN32" s="25">
        <v>6.1050000000000004</v>
      </c>
      <c r="EO32" s="25">
        <v>8.0790000000000006</v>
      </c>
      <c r="EP32" s="25">
        <v>6.1050000000000004</v>
      </c>
      <c r="EQ32" s="25">
        <v>6.1050000000000004</v>
      </c>
      <c r="ER32" s="25">
        <v>47.149000000000001</v>
      </c>
      <c r="ES32" s="25">
        <v>5.2530000000000001</v>
      </c>
      <c r="ET32" s="25">
        <v>6.1050000000000004</v>
      </c>
      <c r="EU32" s="25">
        <v>6.1050000000000004</v>
      </c>
      <c r="EV32" s="25">
        <v>6.1050000000000004</v>
      </c>
      <c r="EW32" s="25"/>
    </row>
    <row r="33" spans="1:153" ht="17.25" customHeight="1" x14ac:dyDescent="0.25">
      <c r="A33" s="25" t="s">
        <v>151</v>
      </c>
      <c r="B33" s="25">
        <v>16.015000000000001</v>
      </c>
      <c r="C33" s="25">
        <v>9.5839999999999996</v>
      </c>
      <c r="D33" s="25">
        <v>8.9719999999999995</v>
      </c>
      <c r="E33" s="25">
        <v>7.585</v>
      </c>
      <c r="F33" s="25">
        <v>7.6950000000000003</v>
      </c>
      <c r="G33" s="25">
        <v>5.6890000000000001</v>
      </c>
      <c r="H33" s="25">
        <v>4.9359999999999999</v>
      </c>
      <c r="I33" s="25">
        <v>3.7029999999999998</v>
      </c>
      <c r="J33" s="25">
        <v>3.5070000000000001</v>
      </c>
      <c r="K33" s="25">
        <v>2.7080000000000002</v>
      </c>
      <c r="L33" s="25">
        <v>1.9430000000000001</v>
      </c>
      <c r="M33" s="25">
        <v>8.0429999999999993</v>
      </c>
      <c r="N33" s="25">
        <v>6.6749999999999998</v>
      </c>
      <c r="O33" s="25">
        <v>5.23</v>
      </c>
      <c r="P33" s="25">
        <v>5.7690000000000001</v>
      </c>
      <c r="Q33" s="25">
        <v>6.2110000000000003</v>
      </c>
      <c r="R33" s="25">
        <v>8.0050000000000008</v>
      </c>
      <c r="S33" s="25">
        <v>7.2519999999999998</v>
      </c>
      <c r="T33" s="25">
        <v>7.5149999999999997</v>
      </c>
      <c r="U33" s="25">
        <v>5.7770000000000001</v>
      </c>
      <c r="V33" s="25">
        <v>5.7060000000000004</v>
      </c>
      <c r="W33" s="25">
        <v>5.1779999999999999</v>
      </c>
      <c r="X33" s="25">
        <v>5.1440000000000001</v>
      </c>
      <c r="Y33" s="25">
        <v>18.457999999999998</v>
      </c>
      <c r="Z33" s="25">
        <v>19.933</v>
      </c>
      <c r="AA33" s="25">
        <v>19.623999999999999</v>
      </c>
      <c r="AB33" s="25">
        <v>21.359000000000002</v>
      </c>
      <c r="AC33" s="25">
        <v>28.242000000000001</v>
      </c>
      <c r="AD33" s="25">
        <v>4.8979999999999997</v>
      </c>
      <c r="AE33" s="25">
        <v>15.987</v>
      </c>
      <c r="AF33" s="25">
        <v>1.4350000000000001</v>
      </c>
      <c r="AG33" s="25">
        <v>0</v>
      </c>
      <c r="AH33" s="25">
        <v>9.5839999999999996</v>
      </c>
      <c r="AI33" s="25">
        <v>5.23</v>
      </c>
      <c r="AJ33" s="25">
        <v>4.9359999999999999</v>
      </c>
      <c r="AK33" s="25">
        <v>3.7029999999999998</v>
      </c>
      <c r="AL33" s="25">
        <v>6.2110000000000003</v>
      </c>
      <c r="AM33" s="25">
        <v>0.35099999999999998</v>
      </c>
      <c r="AN33" s="25">
        <v>9.7799999999999994</v>
      </c>
      <c r="AO33" s="25">
        <v>5.23</v>
      </c>
      <c r="AP33" s="25">
        <v>16.844000000000001</v>
      </c>
      <c r="AQ33" s="25">
        <v>16.533999999999999</v>
      </c>
      <c r="AR33" s="25">
        <v>5.23</v>
      </c>
      <c r="AS33" s="25">
        <v>5.23</v>
      </c>
      <c r="AT33" s="25">
        <v>5.23</v>
      </c>
      <c r="AU33" s="25">
        <v>9.3119999999999994</v>
      </c>
      <c r="AV33" s="25">
        <v>5.23</v>
      </c>
      <c r="AW33" s="25">
        <v>9.8309999999999995</v>
      </c>
      <c r="AX33" s="25">
        <v>10.856999999999999</v>
      </c>
      <c r="AY33" s="25">
        <v>5.23</v>
      </c>
      <c r="AZ33" s="25">
        <v>6.2240000000000002</v>
      </c>
      <c r="BA33" s="25">
        <v>5.23</v>
      </c>
      <c r="BB33" s="25">
        <v>5.8390000000000004</v>
      </c>
      <c r="BC33" s="25">
        <v>5.23</v>
      </c>
      <c r="BD33" s="25">
        <v>5.6479999999999997</v>
      </c>
      <c r="BE33" s="25">
        <v>5.23</v>
      </c>
      <c r="BF33" s="25">
        <v>41.374000000000002</v>
      </c>
      <c r="BG33" s="25">
        <v>5.23</v>
      </c>
      <c r="BH33" s="25">
        <v>5.23</v>
      </c>
      <c r="BI33" s="25">
        <v>29.553999999999998</v>
      </c>
      <c r="BJ33" s="25">
        <v>5.23</v>
      </c>
      <c r="BK33" s="25">
        <v>5.23</v>
      </c>
      <c r="BL33" s="25">
        <v>5.23</v>
      </c>
      <c r="BM33" s="25">
        <v>5.23</v>
      </c>
      <c r="BN33" s="25">
        <v>5.23</v>
      </c>
      <c r="BO33" s="25">
        <v>5.23</v>
      </c>
      <c r="BP33" s="25">
        <v>6.3490000000000002</v>
      </c>
      <c r="BQ33" s="25">
        <v>7.9459999999999997</v>
      </c>
      <c r="BR33" s="25">
        <v>5.23</v>
      </c>
      <c r="BS33" s="25">
        <v>5.23</v>
      </c>
      <c r="BT33" s="25">
        <v>5.23</v>
      </c>
      <c r="BU33" s="25">
        <v>9.2029999999999994</v>
      </c>
      <c r="BV33" s="25">
        <v>5.23</v>
      </c>
      <c r="BW33" s="25">
        <v>5.23</v>
      </c>
      <c r="BX33" s="25">
        <v>1.4279999999999999</v>
      </c>
      <c r="BY33" s="25">
        <v>7.2720000000000002</v>
      </c>
      <c r="BZ33" s="25">
        <v>7.71</v>
      </c>
      <c r="CA33" s="25">
        <v>5.23</v>
      </c>
      <c r="CB33" s="25">
        <v>5.23</v>
      </c>
      <c r="CC33" s="25">
        <v>17.553000000000001</v>
      </c>
      <c r="CD33" s="25">
        <v>18.457999999999998</v>
      </c>
      <c r="CE33" s="25">
        <v>5.23</v>
      </c>
      <c r="CF33" s="25">
        <v>21.581</v>
      </c>
      <c r="CG33" s="25">
        <v>29.640999999999998</v>
      </c>
      <c r="CH33" s="25">
        <v>5.23</v>
      </c>
      <c r="CI33" s="25">
        <v>5.23</v>
      </c>
      <c r="CJ33" s="25">
        <v>5.23</v>
      </c>
      <c r="CK33" s="25">
        <v>5.23</v>
      </c>
      <c r="CL33" s="25">
        <v>5.23</v>
      </c>
      <c r="CM33" s="25">
        <v>5.23</v>
      </c>
      <c r="CN33" s="25">
        <v>5.23</v>
      </c>
      <c r="CO33" s="25">
        <v>5.23</v>
      </c>
      <c r="CP33" s="25">
        <v>5.23</v>
      </c>
      <c r="CQ33" s="25">
        <v>5.23</v>
      </c>
      <c r="CR33" s="25">
        <v>5.23</v>
      </c>
      <c r="CS33" s="25">
        <v>48.253999999999998</v>
      </c>
      <c r="CT33" s="25">
        <v>5.23</v>
      </c>
      <c r="CU33" s="25">
        <v>5.23</v>
      </c>
      <c r="CV33" s="25">
        <v>3.653</v>
      </c>
      <c r="CW33" s="25">
        <v>5.23</v>
      </c>
      <c r="CX33" s="25">
        <v>5.23</v>
      </c>
      <c r="CY33" s="25">
        <v>5.23</v>
      </c>
      <c r="CZ33" s="25">
        <v>8.484</v>
      </c>
      <c r="DA33" s="25">
        <v>6.4409999999999998</v>
      </c>
      <c r="DB33" s="25">
        <v>22.061</v>
      </c>
      <c r="DC33" s="25">
        <v>21.393999999999998</v>
      </c>
      <c r="DD33" s="25">
        <v>8.9920000000000009</v>
      </c>
      <c r="DE33" s="25">
        <v>12.010999999999999</v>
      </c>
      <c r="DF33" s="25">
        <v>5.23</v>
      </c>
      <c r="DG33" s="25">
        <v>13.759</v>
      </c>
      <c r="DH33" s="25">
        <v>39.295000000000002</v>
      </c>
      <c r="DI33" s="25">
        <v>5.23</v>
      </c>
      <c r="DJ33" s="25">
        <v>5.23</v>
      </c>
      <c r="DK33" s="25">
        <v>5.6189999999999998</v>
      </c>
      <c r="DL33" s="25">
        <v>5.23</v>
      </c>
      <c r="DM33" s="25">
        <v>12.010999999999999</v>
      </c>
      <c r="DN33" s="25">
        <v>5.23</v>
      </c>
      <c r="DO33" s="25">
        <v>5.23</v>
      </c>
      <c r="DP33" s="25">
        <v>5.23</v>
      </c>
      <c r="DQ33" s="25">
        <v>5.23</v>
      </c>
      <c r="DR33" s="25">
        <v>5.23</v>
      </c>
      <c r="DS33" s="25">
        <v>5.23</v>
      </c>
      <c r="DT33" s="25">
        <v>5.23</v>
      </c>
      <c r="DU33" s="25">
        <v>9.8439999999999994</v>
      </c>
      <c r="DV33" s="25">
        <v>5.23</v>
      </c>
      <c r="DW33" s="25">
        <v>3.6680000000000001</v>
      </c>
      <c r="DX33" s="25">
        <v>9.859</v>
      </c>
      <c r="DY33" s="25">
        <v>5.23</v>
      </c>
      <c r="DZ33" s="25">
        <v>10.124000000000001</v>
      </c>
      <c r="EA33" s="25">
        <v>5.23</v>
      </c>
      <c r="EB33" s="25">
        <v>13.73</v>
      </c>
      <c r="EC33" s="25">
        <v>5.23</v>
      </c>
      <c r="ED33" s="25">
        <v>5.23</v>
      </c>
      <c r="EE33" s="25">
        <v>5.23</v>
      </c>
      <c r="EF33" s="25">
        <v>5.23</v>
      </c>
      <c r="EG33" s="25">
        <v>14.571999999999999</v>
      </c>
      <c r="EH33" s="25">
        <v>5.1029999999999998</v>
      </c>
      <c r="EI33" s="25">
        <v>5.23</v>
      </c>
      <c r="EJ33" s="25">
        <v>6.2110000000000003</v>
      </c>
      <c r="EK33" s="25">
        <v>5.23</v>
      </c>
      <c r="EL33" s="25">
        <v>5.23</v>
      </c>
      <c r="EM33" s="25">
        <v>3.9060000000000001</v>
      </c>
      <c r="EN33" s="25">
        <v>5.23</v>
      </c>
      <c r="EO33" s="25">
        <v>5.665</v>
      </c>
      <c r="EP33" s="25">
        <v>5.23</v>
      </c>
      <c r="EQ33" s="25">
        <v>5.23</v>
      </c>
      <c r="ER33" s="25">
        <v>47.408999999999999</v>
      </c>
      <c r="ES33" s="25">
        <v>5.6870000000000003</v>
      </c>
      <c r="ET33" s="25">
        <v>5.23</v>
      </c>
      <c r="EU33" s="25">
        <v>5.23</v>
      </c>
      <c r="EV33" s="25">
        <v>5.23</v>
      </c>
      <c r="EW33" s="25"/>
    </row>
    <row r="34" spans="1:153" ht="17.25" customHeight="1" x14ac:dyDescent="0.25">
      <c r="A34" s="25" t="s">
        <v>102</v>
      </c>
      <c r="B34" s="25">
        <v>1.2509999999999999</v>
      </c>
      <c r="C34" s="25">
        <v>0</v>
      </c>
      <c r="D34" s="25">
        <v>2.0249999999999999</v>
      </c>
      <c r="E34" s="25">
        <v>3.2069999999999999</v>
      </c>
      <c r="F34" s="25">
        <v>3.9009999999999998</v>
      </c>
      <c r="G34" s="25">
        <v>4.9329999999999998</v>
      </c>
      <c r="H34" s="25">
        <v>5.6870000000000003</v>
      </c>
      <c r="I34" s="25">
        <v>6.9589999999999996</v>
      </c>
      <c r="J34" s="25">
        <v>7.2270000000000003</v>
      </c>
      <c r="K34" s="25">
        <v>8.2050000000000001</v>
      </c>
      <c r="L34" s="25">
        <v>17.068000000000001</v>
      </c>
      <c r="M34" s="25">
        <v>8.1940000000000008</v>
      </c>
      <c r="N34" s="25">
        <v>7.125</v>
      </c>
      <c r="O34" s="25">
        <v>5.3929999999999998</v>
      </c>
      <c r="P34" s="25">
        <v>6.4329999999999998</v>
      </c>
      <c r="Q34" s="25">
        <v>6.375</v>
      </c>
      <c r="R34" s="25">
        <v>10.109</v>
      </c>
      <c r="S34" s="25">
        <v>9.3559999999999999</v>
      </c>
      <c r="T34" s="25">
        <v>9.8620000000000001</v>
      </c>
      <c r="U34" s="25">
        <v>11.766999999999999</v>
      </c>
      <c r="V34" s="25">
        <v>11.35</v>
      </c>
      <c r="W34" s="25">
        <v>10.622999999999999</v>
      </c>
      <c r="X34" s="25">
        <v>19.041</v>
      </c>
      <c r="Y34" s="25">
        <v>5.2649999999999997</v>
      </c>
      <c r="Z34" s="25">
        <v>6.74</v>
      </c>
      <c r="AA34" s="25">
        <v>8.1340000000000003</v>
      </c>
      <c r="AB34" s="25">
        <v>9.8689999999999998</v>
      </c>
      <c r="AC34" s="25">
        <v>19.5</v>
      </c>
      <c r="AD34" s="25">
        <v>18.795000000000002</v>
      </c>
      <c r="AE34" s="25">
        <v>3.008</v>
      </c>
      <c r="AF34" s="25">
        <v>15.375</v>
      </c>
      <c r="AG34" s="25">
        <v>15.664</v>
      </c>
      <c r="AH34" s="25">
        <v>0</v>
      </c>
      <c r="AI34" s="25">
        <v>5.3929999999999998</v>
      </c>
      <c r="AJ34" s="25">
        <v>5.6870000000000003</v>
      </c>
      <c r="AK34" s="25">
        <v>6.9589999999999996</v>
      </c>
      <c r="AL34" s="25">
        <v>6.375</v>
      </c>
      <c r="AM34" s="25">
        <v>15.467000000000001</v>
      </c>
      <c r="AN34" s="25">
        <v>15.343999999999999</v>
      </c>
      <c r="AO34" s="25">
        <v>5.3929999999999998</v>
      </c>
      <c r="AP34" s="25">
        <v>2.6360000000000001</v>
      </c>
      <c r="AQ34" s="25">
        <v>1.704</v>
      </c>
      <c r="AR34" s="25">
        <v>5.3929999999999998</v>
      </c>
      <c r="AS34" s="25">
        <v>5.3929999999999998</v>
      </c>
      <c r="AT34" s="25">
        <v>5.3929999999999998</v>
      </c>
      <c r="AU34" s="25">
        <v>3.8820000000000001</v>
      </c>
      <c r="AV34" s="25">
        <v>5.3929999999999998</v>
      </c>
      <c r="AW34" s="25">
        <v>6.2460000000000004</v>
      </c>
      <c r="AX34" s="25">
        <v>10.974</v>
      </c>
      <c r="AY34" s="25">
        <v>5.3929999999999998</v>
      </c>
      <c r="AZ34" s="25">
        <v>7.2919999999999998</v>
      </c>
      <c r="BA34" s="25">
        <v>5.3929999999999998</v>
      </c>
      <c r="BB34" s="25">
        <v>5.9210000000000003</v>
      </c>
      <c r="BC34" s="25">
        <v>5.3929999999999998</v>
      </c>
      <c r="BD34" s="25">
        <v>6.7160000000000002</v>
      </c>
      <c r="BE34" s="25">
        <v>5.3929999999999998</v>
      </c>
      <c r="BF34" s="25">
        <v>32.633000000000003</v>
      </c>
      <c r="BG34" s="25">
        <v>5.3929999999999998</v>
      </c>
      <c r="BH34" s="25">
        <v>5.3929999999999998</v>
      </c>
      <c r="BI34" s="25">
        <v>21.055</v>
      </c>
      <c r="BJ34" s="25">
        <v>5.3929999999999998</v>
      </c>
      <c r="BK34" s="25">
        <v>5.3929999999999998</v>
      </c>
      <c r="BL34" s="25">
        <v>5.3929999999999998</v>
      </c>
      <c r="BM34" s="25">
        <v>5.3929999999999998</v>
      </c>
      <c r="BN34" s="25">
        <v>5.3929999999999998</v>
      </c>
      <c r="BO34" s="25">
        <v>5.3929999999999998</v>
      </c>
      <c r="BP34" s="25">
        <v>11.337999999999999</v>
      </c>
      <c r="BQ34" s="25">
        <v>4.0419999999999998</v>
      </c>
      <c r="BR34" s="25">
        <v>5.3929999999999998</v>
      </c>
      <c r="BS34" s="25">
        <v>5.3929999999999998</v>
      </c>
      <c r="BT34" s="25">
        <v>5.3929999999999998</v>
      </c>
      <c r="BU34" s="25">
        <v>7.5730000000000004</v>
      </c>
      <c r="BV34" s="25">
        <v>5.3929999999999998</v>
      </c>
      <c r="BW34" s="25">
        <v>5.3929999999999998</v>
      </c>
      <c r="BX34" s="25">
        <v>13.688000000000001</v>
      </c>
      <c r="BY34" s="25">
        <v>5.0570000000000004</v>
      </c>
      <c r="BZ34" s="25">
        <v>3.9260000000000002</v>
      </c>
      <c r="CA34" s="25">
        <v>5.3929999999999998</v>
      </c>
      <c r="CB34" s="25">
        <v>5.3929999999999998</v>
      </c>
      <c r="CC34" s="25">
        <v>4.3600000000000003</v>
      </c>
      <c r="CD34" s="25">
        <v>5.2649999999999997</v>
      </c>
      <c r="CE34" s="25">
        <v>5.3929999999999998</v>
      </c>
      <c r="CF34" s="25">
        <v>12.839</v>
      </c>
      <c r="CG34" s="25">
        <v>20.899000000000001</v>
      </c>
      <c r="CH34" s="25">
        <v>5.3929999999999998</v>
      </c>
      <c r="CI34" s="25">
        <v>5.3929999999999998</v>
      </c>
      <c r="CJ34" s="25">
        <v>5.3929999999999998</v>
      </c>
      <c r="CK34" s="25">
        <v>5.3929999999999998</v>
      </c>
      <c r="CL34" s="25">
        <v>5.3929999999999998</v>
      </c>
      <c r="CM34" s="25">
        <v>5.3929999999999998</v>
      </c>
      <c r="CN34" s="25">
        <v>5.3929999999999998</v>
      </c>
      <c r="CO34" s="25">
        <v>5.3929999999999998</v>
      </c>
      <c r="CP34" s="25">
        <v>5.3929999999999998</v>
      </c>
      <c r="CQ34" s="25">
        <v>5.3929999999999998</v>
      </c>
      <c r="CR34" s="25">
        <v>5.3929999999999998</v>
      </c>
      <c r="CS34" s="25">
        <v>39.755000000000003</v>
      </c>
      <c r="CT34" s="25">
        <v>5.3929999999999998</v>
      </c>
      <c r="CU34" s="25">
        <v>5.3929999999999998</v>
      </c>
      <c r="CV34" s="25">
        <v>8.2669999999999995</v>
      </c>
      <c r="CW34" s="25">
        <v>5.3929999999999998</v>
      </c>
      <c r="CX34" s="25">
        <v>5.3929999999999998</v>
      </c>
      <c r="CY34" s="25">
        <v>5.3929999999999998</v>
      </c>
      <c r="CZ34" s="25">
        <v>6.8540000000000001</v>
      </c>
      <c r="DA34" s="25">
        <v>5.6029999999999998</v>
      </c>
      <c r="DB34" s="25">
        <v>8.8680000000000003</v>
      </c>
      <c r="DC34" s="25">
        <v>8.2010000000000005</v>
      </c>
      <c r="DD34" s="25">
        <v>2.6579999999999999</v>
      </c>
      <c r="DE34" s="25">
        <v>25.695</v>
      </c>
      <c r="DF34" s="25">
        <v>5.3929999999999998</v>
      </c>
      <c r="DG34" s="25">
        <v>3.2610000000000001</v>
      </c>
      <c r="DH34" s="25">
        <v>30.553999999999998</v>
      </c>
      <c r="DI34" s="25">
        <v>5.3929999999999998</v>
      </c>
      <c r="DJ34" s="25">
        <v>5.3929999999999998</v>
      </c>
      <c r="DK34" s="25">
        <v>7.0460000000000003</v>
      </c>
      <c r="DL34" s="25">
        <v>5.3929999999999998</v>
      </c>
      <c r="DM34" s="25">
        <v>25.695</v>
      </c>
      <c r="DN34" s="25">
        <v>5.3929999999999998</v>
      </c>
      <c r="DO34" s="25">
        <v>5.3929999999999998</v>
      </c>
      <c r="DP34" s="25">
        <v>5.3929999999999998</v>
      </c>
      <c r="DQ34" s="25">
        <v>5.3929999999999998</v>
      </c>
      <c r="DR34" s="25">
        <v>5.3929999999999998</v>
      </c>
      <c r="DS34" s="25">
        <v>5.3929999999999998</v>
      </c>
      <c r="DT34" s="25">
        <v>5.3929999999999998</v>
      </c>
      <c r="DU34" s="25">
        <v>2.5190000000000001</v>
      </c>
      <c r="DV34" s="25">
        <v>5.3929999999999998</v>
      </c>
      <c r="DW34" s="25">
        <v>17.565000000000001</v>
      </c>
      <c r="DX34" s="25">
        <v>20.128</v>
      </c>
      <c r="DY34" s="25">
        <v>5.3929999999999998</v>
      </c>
      <c r="DZ34" s="25">
        <v>20.393000000000001</v>
      </c>
      <c r="EA34" s="25">
        <v>5.3929999999999998</v>
      </c>
      <c r="EB34" s="25">
        <v>3.2320000000000002</v>
      </c>
      <c r="EC34" s="25">
        <v>5.3929999999999998</v>
      </c>
      <c r="ED34" s="25">
        <v>5.3929999999999998</v>
      </c>
      <c r="EE34" s="25">
        <v>5.3929999999999998</v>
      </c>
      <c r="EF34" s="25">
        <v>5.3929999999999998</v>
      </c>
      <c r="EG34" s="25">
        <v>2.74</v>
      </c>
      <c r="EH34" s="25">
        <v>20.533000000000001</v>
      </c>
      <c r="EI34" s="25">
        <v>5.3929999999999998</v>
      </c>
      <c r="EJ34" s="25">
        <v>6.375</v>
      </c>
      <c r="EK34" s="25">
        <v>5.3929999999999998</v>
      </c>
      <c r="EL34" s="25">
        <v>5.3929999999999998</v>
      </c>
      <c r="EM34" s="25">
        <v>10.567</v>
      </c>
      <c r="EN34" s="25">
        <v>5.3929999999999998</v>
      </c>
      <c r="EO34" s="25">
        <v>9.8800000000000008</v>
      </c>
      <c r="EP34" s="25">
        <v>5.3929999999999998</v>
      </c>
      <c r="EQ34" s="25">
        <v>5.3929999999999998</v>
      </c>
      <c r="ER34" s="25">
        <v>38.667999999999999</v>
      </c>
      <c r="ES34" s="25">
        <v>19.584</v>
      </c>
      <c r="ET34" s="25">
        <v>5.3929999999999998</v>
      </c>
      <c r="EU34" s="25">
        <v>5.3929999999999998</v>
      </c>
      <c r="EV34" s="25">
        <v>5.3929999999999998</v>
      </c>
      <c r="EW34" s="25"/>
    </row>
    <row r="35" spans="1:153" ht="17.25" customHeight="1" x14ac:dyDescent="0.25">
      <c r="A35" s="25" t="s">
        <v>152</v>
      </c>
      <c r="B35" s="25">
        <v>5.6050000000000004</v>
      </c>
      <c r="C35" s="25">
        <v>4.3540000000000001</v>
      </c>
      <c r="D35" s="25">
        <v>3.742</v>
      </c>
      <c r="E35" s="25">
        <v>2.355</v>
      </c>
      <c r="F35" s="25">
        <v>2.4649999999999999</v>
      </c>
      <c r="G35" s="25">
        <v>0.46</v>
      </c>
      <c r="H35" s="25">
        <v>0.29399999999999998</v>
      </c>
      <c r="I35" s="25">
        <v>1.5660000000000001</v>
      </c>
      <c r="J35" s="25">
        <v>1.8340000000000001</v>
      </c>
      <c r="K35" s="25">
        <v>2.8119999999999998</v>
      </c>
      <c r="L35" s="25">
        <v>3.7679999999999998</v>
      </c>
      <c r="M35" s="25">
        <v>3.718</v>
      </c>
      <c r="N35" s="25">
        <v>2.35</v>
      </c>
      <c r="O35" s="25">
        <v>0</v>
      </c>
      <c r="P35" s="25">
        <v>1.327</v>
      </c>
      <c r="Q35" s="25">
        <v>2.1219999999999999</v>
      </c>
      <c r="R35" s="25">
        <v>2.98</v>
      </c>
      <c r="S35" s="25">
        <v>4.2060000000000004</v>
      </c>
      <c r="T35" s="25">
        <v>4.4690000000000003</v>
      </c>
      <c r="U35" s="25">
        <v>6.7939999999999996</v>
      </c>
      <c r="V35" s="25">
        <v>5.9569999999999999</v>
      </c>
      <c r="W35" s="25">
        <v>5.23</v>
      </c>
      <c r="X35" s="25">
        <v>9.8219999999999992</v>
      </c>
      <c r="Y35" s="25">
        <v>10.385999999999999</v>
      </c>
      <c r="Z35" s="25">
        <v>11.862</v>
      </c>
      <c r="AA35" s="25">
        <v>16.582000000000001</v>
      </c>
      <c r="AB35" s="25">
        <v>18.317</v>
      </c>
      <c r="AC35" s="25">
        <v>25.2</v>
      </c>
      <c r="AD35" s="25">
        <v>9.5760000000000005</v>
      </c>
      <c r="AE35" s="25">
        <v>7.3620000000000001</v>
      </c>
      <c r="AF35" s="25">
        <v>6.1390000000000002</v>
      </c>
      <c r="AG35" s="25">
        <v>5.2320000000000002</v>
      </c>
      <c r="AH35" s="25">
        <v>4.3540000000000001</v>
      </c>
      <c r="AI35" s="25">
        <v>0</v>
      </c>
      <c r="AJ35" s="25">
        <v>0.29399999999999998</v>
      </c>
      <c r="AK35" s="25">
        <v>1.5660000000000001</v>
      </c>
      <c r="AL35" s="25">
        <v>2.1219999999999999</v>
      </c>
      <c r="AM35" s="25">
        <v>4.97</v>
      </c>
      <c r="AN35" s="25">
        <v>11.773999999999999</v>
      </c>
      <c r="AO35" s="25">
        <v>0</v>
      </c>
      <c r="AP35" s="25">
        <v>7.8979999999999997</v>
      </c>
      <c r="AQ35" s="25">
        <v>4.8360000000000003</v>
      </c>
      <c r="AR35" s="25">
        <v>0</v>
      </c>
      <c r="AS35" s="25">
        <v>0</v>
      </c>
      <c r="AT35" s="25">
        <v>0</v>
      </c>
      <c r="AU35" s="25">
        <v>4.3250000000000002</v>
      </c>
      <c r="AV35" s="25">
        <v>0</v>
      </c>
      <c r="AW35" s="25">
        <v>3.9079999999999999</v>
      </c>
      <c r="AX35" s="25">
        <v>6.532</v>
      </c>
      <c r="AY35" s="25">
        <v>0</v>
      </c>
      <c r="AZ35" s="25">
        <v>1.899</v>
      </c>
      <c r="BA35" s="25">
        <v>0</v>
      </c>
      <c r="BB35" s="25">
        <v>1.3979999999999999</v>
      </c>
      <c r="BC35" s="25">
        <v>0</v>
      </c>
      <c r="BD35" s="25">
        <v>1.323</v>
      </c>
      <c r="BE35" s="25">
        <v>0</v>
      </c>
      <c r="BF35" s="25">
        <v>38.332000000000001</v>
      </c>
      <c r="BG35" s="25">
        <v>0</v>
      </c>
      <c r="BH35" s="25">
        <v>0</v>
      </c>
      <c r="BI35" s="25">
        <v>26.510999999999999</v>
      </c>
      <c r="BJ35" s="25">
        <v>0</v>
      </c>
      <c r="BK35" s="25">
        <v>0</v>
      </c>
      <c r="BL35" s="25">
        <v>0</v>
      </c>
      <c r="BM35" s="25">
        <v>0</v>
      </c>
      <c r="BN35" s="25">
        <v>0</v>
      </c>
      <c r="BO35" s="25">
        <v>0</v>
      </c>
      <c r="BP35" s="25">
        <v>6.7750000000000004</v>
      </c>
      <c r="BQ35" s="25">
        <v>2.7160000000000002</v>
      </c>
      <c r="BR35" s="25">
        <v>0</v>
      </c>
      <c r="BS35" s="25">
        <v>0</v>
      </c>
      <c r="BT35" s="25">
        <v>0</v>
      </c>
      <c r="BU35" s="25">
        <v>8.5730000000000004</v>
      </c>
      <c r="BV35" s="25">
        <v>0</v>
      </c>
      <c r="BW35" s="25">
        <v>0</v>
      </c>
      <c r="BX35" s="25">
        <v>4.8630000000000004</v>
      </c>
      <c r="BY35" s="25">
        <v>1.661</v>
      </c>
      <c r="BZ35" s="25">
        <v>2.48</v>
      </c>
      <c r="CA35" s="25">
        <v>0</v>
      </c>
      <c r="CB35" s="25">
        <v>0</v>
      </c>
      <c r="CC35" s="25">
        <v>8.5419999999999998</v>
      </c>
      <c r="CD35" s="25">
        <v>10.385999999999999</v>
      </c>
      <c r="CE35" s="25">
        <v>0</v>
      </c>
      <c r="CF35" s="25">
        <v>18.539000000000001</v>
      </c>
      <c r="CG35" s="25">
        <v>26.599</v>
      </c>
      <c r="CH35" s="25">
        <v>0</v>
      </c>
      <c r="CI35" s="25">
        <v>0</v>
      </c>
      <c r="CJ35" s="25">
        <v>0</v>
      </c>
      <c r="CK35" s="25">
        <v>0</v>
      </c>
      <c r="CL35" s="25">
        <v>0</v>
      </c>
      <c r="CM35" s="25">
        <v>0</v>
      </c>
      <c r="CN35" s="25">
        <v>0</v>
      </c>
      <c r="CO35" s="25">
        <v>0</v>
      </c>
      <c r="CP35" s="25">
        <v>0</v>
      </c>
      <c r="CQ35" s="25">
        <v>0</v>
      </c>
      <c r="CR35" s="25">
        <v>0</v>
      </c>
      <c r="CS35" s="25">
        <v>45.210999999999999</v>
      </c>
      <c r="CT35" s="25">
        <v>0</v>
      </c>
      <c r="CU35" s="25">
        <v>0</v>
      </c>
      <c r="CV35" s="25">
        <v>3.0449999999999999</v>
      </c>
      <c r="CW35" s="25">
        <v>0</v>
      </c>
      <c r="CX35" s="25">
        <v>0</v>
      </c>
      <c r="CY35" s="25">
        <v>0</v>
      </c>
      <c r="CZ35" s="25">
        <v>7.8540000000000001</v>
      </c>
      <c r="DA35" s="25">
        <v>2.0979999999999999</v>
      </c>
      <c r="DB35" s="25">
        <v>13.99</v>
      </c>
      <c r="DC35" s="25">
        <v>13.323</v>
      </c>
      <c r="DD35" s="25">
        <v>3.762</v>
      </c>
      <c r="DE35" s="25">
        <v>16.651</v>
      </c>
      <c r="DF35" s="25">
        <v>0</v>
      </c>
      <c r="DG35" s="25">
        <v>7.407</v>
      </c>
      <c r="DH35" s="25">
        <v>36.253</v>
      </c>
      <c r="DI35" s="25">
        <v>0</v>
      </c>
      <c r="DJ35" s="25">
        <v>0</v>
      </c>
      <c r="DK35" s="25">
        <v>2.4380000000000002</v>
      </c>
      <c r="DL35" s="25">
        <v>0</v>
      </c>
      <c r="DM35" s="25">
        <v>16.651</v>
      </c>
      <c r="DN35" s="25">
        <v>0</v>
      </c>
      <c r="DO35" s="25">
        <v>0</v>
      </c>
      <c r="DP35" s="25">
        <v>0</v>
      </c>
      <c r="DQ35" s="25">
        <v>0</v>
      </c>
      <c r="DR35" s="25">
        <v>0</v>
      </c>
      <c r="DS35" s="25">
        <v>0</v>
      </c>
      <c r="DT35" s="25">
        <v>0</v>
      </c>
      <c r="DU35" s="25">
        <v>5.5010000000000003</v>
      </c>
      <c r="DV35" s="25">
        <v>0</v>
      </c>
      <c r="DW35" s="25">
        <v>8.3460000000000001</v>
      </c>
      <c r="DX35" s="25">
        <v>14.747999999999999</v>
      </c>
      <c r="DY35" s="25">
        <v>0</v>
      </c>
      <c r="DZ35" s="25">
        <v>15.013</v>
      </c>
      <c r="EA35" s="25">
        <v>0</v>
      </c>
      <c r="EB35" s="25">
        <v>7.3780000000000001</v>
      </c>
      <c r="EC35" s="25">
        <v>0</v>
      </c>
      <c r="ED35" s="25">
        <v>0</v>
      </c>
      <c r="EE35" s="25">
        <v>0</v>
      </c>
      <c r="EF35" s="25">
        <v>0</v>
      </c>
      <c r="EG35" s="25">
        <v>6.6349999999999998</v>
      </c>
      <c r="EH35" s="25">
        <v>7.3650000000000002</v>
      </c>
      <c r="EI35" s="25">
        <v>0</v>
      </c>
      <c r="EJ35" s="25">
        <v>2.1219999999999999</v>
      </c>
      <c r="EK35" s="25">
        <v>0</v>
      </c>
      <c r="EL35" s="25">
        <v>0</v>
      </c>
      <c r="EM35" s="25">
        <v>5.1740000000000004</v>
      </c>
      <c r="EN35" s="25">
        <v>0</v>
      </c>
      <c r="EO35" s="25">
        <v>5.2930000000000001</v>
      </c>
      <c r="EP35" s="25">
        <v>0</v>
      </c>
      <c r="EQ35" s="25">
        <v>0</v>
      </c>
      <c r="ER35" s="25">
        <v>44.366999999999997</v>
      </c>
      <c r="ES35" s="25">
        <v>10.365</v>
      </c>
      <c r="ET35" s="25">
        <v>0</v>
      </c>
      <c r="EU35" s="25">
        <v>0</v>
      </c>
      <c r="EV35" s="25">
        <v>0</v>
      </c>
      <c r="EW35" s="25"/>
    </row>
    <row r="36" spans="1:153" ht="17.25" customHeight="1" x14ac:dyDescent="0.25">
      <c r="A36" s="25" t="s">
        <v>153</v>
      </c>
      <c r="B36" s="25">
        <v>5.899</v>
      </c>
      <c r="C36" s="25">
        <v>4.6479999999999997</v>
      </c>
      <c r="D36" s="25">
        <v>4.0359999999999996</v>
      </c>
      <c r="E36" s="25">
        <v>2.649</v>
      </c>
      <c r="F36" s="25">
        <v>2.7589999999999999</v>
      </c>
      <c r="G36" s="25">
        <v>0.754</v>
      </c>
      <c r="H36" s="25">
        <v>0</v>
      </c>
      <c r="I36" s="25">
        <v>1.272</v>
      </c>
      <c r="J36" s="25">
        <v>1.54</v>
      </c>
      <c r="K36" s="25">
        <v>2.5179999999999998</v>
      </c>
      <c r="L36" s="25">
        <v>3.4740000000000002</v>
      </c>
      <c r="M36" s="25">
        <v>3.4239999999999999</v>
      </c>
      <c r="N36" s="25">
        <v>2.056</v>
      </c>
      <c r="O36" s="25">
        <v>0.29399999999999998</v>
      </c>
      <c r="P36" s="25">
        <v>1.6060000000000001</v>
      </c>
      <c r="Q36" s="25">
        <v>2.4</v>
      </c>
      <c r="R36" s="25">
        <v>3.258</v>
      </c>
      <c r="S36" s="25">
        <v>4.484</v>
      </c>
      <c r="T36" s="25">
        <v>4.7469999999999999</v>
      </c>
      <c r="U36" s="25">
        <v>7.0720000000000001</v>
      </c>
      <c r="V36" s="25">
        <v>6.2350000000000003</v>
      </c>
      <c r="W36" s="25">
        <v>5.508</v>
      </c>
      <c r="X36" s="25">
        <v>9.5280000000000005</v>
      </c>
      <c r="Y36" s="25">
        <v>10.69</v>
      </c>
      <c r="Z36" s="25">
        <v>12.166</v>
      </c>
      <c r="AA36" s="25">
        <v>16.86</v>
      </c>
      <c r="AB36" s="25">
        <v>18.594999999999999</v>
      </c>
      <c r="AC36" s="25">
        <v>25.478000000000002</v>
      </c>
      <c r="AD36" s="25">
        <v>9.282</v>
      </c>
      <c r="AE36" s="25">
        <v>7.6559999999999997</v>
      </c>
      <c r="AF36" s="25">
        <v>5.8449999999999998</v>
      </c>
      <c r="AG36" s="25">
        <v>4.9379999999999997</v>
      </c>
      <c r="AH36" s="25">
        <v>4.6479999999999997</v>
      </c>
      <c r="AI36" s="25">
        <v>0.29399999999999998</v>
      </c>
      <c r="AJ36" s="25">
        <v>0</v>
      </c>
      <c r="AK36" s="25">
        <v>1.272</v>
      </c>
      <c r="AL36" s="25">
        <v>2.4</v>
      </c>
      <c r="AM36" s="25">
        <v>4.6760000000000002</v>
      </c>
      <c r="AN36" s="25">
        <v>12.052</v>
      </c>
      <c r="AO36" s="25">
        <v>0.29399999999999998</v>
      </c>
      <c r="AP36" s="25">
        <v>8.202</v>
      </c>
      <c r="AQ36" s="25">
        <v>5.13</v>
      </c>
      <c r="AR36" s="25">
        <v>0.29399999999999998</v>
      </c>
      <c r="AS36" s="25">
        <v>0.29399999999999998</v>
      </c>
      <c r="AT36" s="25">
        <v>0.29399999999999998</v>
      </c>
      <c r="AU36" s="25">
        <v>4.6289999999999996</v>
      </c>
      <c r="AV36" s="25">
        <v>0.29399999999999998</v>
      </c>
      <c r="AW36" s="25">
        <v>4.1859999999999999</v>
      </c>
      <c r="AX36" s="25">
        <v>6.2380000000000004</v>
      </c>
      <c r="AY36" s="25">
        <v>0.29399999999999998</v>
      </c>
      <c r="AZ36" s="25">
        <v>1.605</v>
      </c>
      <c r="BA36" s="25">
        <v>0.29399999999999998</v>
      </c>
      <c r="BB36" s="25">
        <v>1.728</v>
      </c>
      <c r="BC36" s="25">
        <v>0.29399999999999998</v>
      </c>
      <c r="BD36" s="25">
        <v>1.0289999999999999</v>
      </c>
      <c r="BE36" s="25">
        <v>0.29399999999999998</v>
      </c>
      <c r="BF36" s="25">
        <v>38.61</v>
      </c>
      <c r="BG36" s="25">
        <v>0.29399999999999998</v>
      </c>
      <c r="BH36" s="25">
        <v>0.29399999999999998</v>
      </c>
      <c r="BI36" s="25">
        <v>26.789000000000001</v>
      </c>
      <c r="BJ36" s="25">
        <v>0.29399999999999998</v>
      </c>
      <c r="BK36" s="25">
        <v>0.29399999999999998</v>
      </c>
      <c r="BL36" s="25">
        <v>0.29399999999999998</v>
      </c>
      <c r="BM36" s="25">
        <v>0.29399999999999998</v>
      </c>
      <c r="BN36" s="25">
        <v>0.29399999999999998</v>
      </c>
      <c r="BO36" s="25">
        <v>0.29399999999999998</v>
      </c>
      <c r="BP36" s="25">
        <v>7.0529999999999999</v>
      </c>
      <c r="BQ36" s="25">
        <v>3.01</v>
      </c>
      <c r="BR36" s="25">
        <v>0.29399999999999998</v>
      </c>
      <c r="BS36" s="25">
        <v>0.29399999999999998</v>
      </c>
      <c r="BT36" s="25">
        <v>0.29399999999999998</v>
      </c>
      <c r="BU36" s="25">
        <v>8.8510000000000009</v>
      </c>
      <c r="BV36" s="25">
        <v>0.29399999999999998</v>
      </c>
      <c r="BW36" s="25">
        <v>0.29399999999999998</v>
      </c>
      <c r="BX36" s="25">
        <v>4.1429999999999998</v>
      </c>
      <c r="BY36" s="25">
        <v>1.9550000000000001</v>
      </c>
      <c r="BZ36" s="25">
        <v>2.774</v>
      </c>
      <c r="CA36" s="25">
        <v>0.29399999999999998</v>
      </c>
      <c r="CB36" s="25">
        <v>0.29399999999999998</v>
      </c>
      <c r="CC36" s="25">
        <v>8.8460000000000001</v>
      </c>
      <c r="CD36" s="25">
        <v>10.69</v>
      </c>
      <c r="CE36" s="25">
        <v>0.29399999999999998</v>
      </c>
      <c r="CF36" s="25">
        <v>18.817</v>
      </c>
      <c r="CG36" s="25">
        <v>26.876999999999999</v>
      </c>
      <c r="CH36" s="25">
        <v>0.29399999999999998</v>
      </c>
      <c r="CI36" s="25">
        <v>0.29399999999999998</v>
      </c>
      <c r="CJ36" s="25">
        <v>0.29399999999999998</v>
      </c>
      <c r="CK36" s="25">
        <v>0.29399999999999998</v>
      </c>
      <c r="CL36" s="25">
        <v>0.29399999999999998</v>
      </c>
      <c r="CM36" s="25">
        <v>0.29399999999999998</v>
      </c>
      <c r="CN36" s="25">
        <v>0.29399999999999998</v>
      </c>
      <c r="CO36" s="25">
        <v>0.29399999999999998</v>
      </c>
      <c r="CP36" s="25">
        <v>0.29399999999999998</v>
      </c>
      <c r="CQ36" s="25">
        <v>0.29399999999999998</v>
      </c>
      <c r="CR36" s="25">
        <v>0.29399999999999998</v>
      </c>
      <c r="CS36" s="25">
        <v>45.488999999999997</v>
      </c>
      <c r="CT36" s="25">
        <v>0.29399999999999998</v>
      </c>
      <c r="CU36" s="25">
        <v>0.29399999999999998</v>
      </c>
      <c r="CV36" s="25">
        <v>3.323</v>
      </c>
      <c r="CW36" s="25">
        <v>0.29399999999999998</v>
      </c>
      <c r="CX36" s="25">
        <v>0.29399999999999998</v>
      </c>
      <c r="CY36" s="25">
        <v>0.29399999999999998</v>
      </c>
      <c r="CZ36" s="25">
        <v>8.1319999999999997</v>
      </c>
      <c r="DA36" s="25">
        <v>2.3759999999999999</v>
      </c>
      <c r="DB36" s="25">
        <v>14.294</v>
      </c>
      <c r="DC36" s="25">
        <v>13.627000000000001</v>
      </c>
      <c r="DD36" s="25">
        <v>4.056</v>
      </c>
      <c r="DE36" s="25">
        <v>16.356999999999999</v>
      </c>
      <c r="DF36" s="25">
        <v>0.29399999999999998</v>
      </c>
      <c r="DG36" s="25">
        <v>7.6849999999999996</v>
      </c>
      <c r="DH36" s="25">
        <v>36.530999999999999</v>
      </c>
      <c r="DI36" s="25">
        <v>0.29399999999999998</v>
      </c>
      <c r="DJ36" s="25">
        <v>0.29399999999999998</v>
      </c>
      <c r="DK36" s="25">
        <v>2.7160000000000002</v>
      </c>
      <c r="DL36" s="25">
        <v>0.29399999999999998</v>
      </c>
      <c r="DM36" s="25">
        <v>16.356999999999999</v>
      </c>
      <c r="DN36" s="25">
        <v>0.29399999999999998</v>
      </c>
      <c r="DO36" s="25">
        <v>0.29399999999999998</v>
      </c>
      <c r="DP36" s="25">
        <v>0.29399999999999998</v>
      </c>
      <c r="DQ36" s="25">
        <v>0.29399999999999998</v>
      </c>
      <c r="DR36" s="25">
        <v>0.29399999999999998</v>
      </c>
      <c r="DS36" s="25">
        <v>0.29399999999999998</v>
      </c>
      <c r="DT36" s="25">
        <v>0.29399999999999998</v>
      </c>
      <c r="DU36" s="25">
        <v>5.7789999999999999</v>
      </c>
      <c r="DV36" s="25">
        <v>0.29399999999999998</v>
      </c>
      <c r="DW36" s="25">
        <v>8.0519999999999996</v>
      </c>
      <c r="DX36" s="25">
        <v>15.026</v>
      </c>
      <c r="DY36" s="25">
        <v>0.29399999999999998</v>
      </c>
      <c r="DZ36" s="25">
        <v>15.291</v>
      </c>
      <c r="EA36" s="25">
        <v>0.29399999999999998</v>
      </c>
      <c r="EB36" s="25">
        <v>7.6559999999999997</v>
      </c>
      <c r="EC36" s="25">
        <v>0.29399999999999998</v>
      </c>
      <c r="ED36" s="25">
        <v>0.29399999999999998</v>
      </c>
      <c r="EE36" s="25">
        <v>0.29399999999999998</v>
      </c>
      <c r="EF36" s="25">
        <v>0.29399999999999998</v>
      </c>
      <c r="EG36" s="25">
        <v>6.9130000000000003</v>
      </c>
      <c r="EH36" s="25">
        <v>6.9009999999999998</v>
      </c>
      <c r="EI36" s="25">
        <v>0.29399999999999998</v>
      </c>
      <c r="EJ36" s="25">
        <v>2.4</v>
      </c>
      <c r="EK36" s="25">
        <v>0.29399999999999998</v>
      </c>
      <c r="EL36" s="25">
        <v>0.29399999999999998</v>
      </c>
      <c r="EM36" s="25">
        <v>5.452</v>
      </c>
      <c r="EN36" s="25">
        <v>0.29399999999999998</v>
      </c>
      <c r="EO36" s="25">
        <v>5.5709999999999997</v>
      </c>
      <c r="EP36" s="25">
        <v>0.29399999999999998</v>
      </c>
      <c r="EQ36" s="25">
        <v>0.29399999999999998</v>
      </c>
      <c r="ER36" s="25">
        <v>44.645000000000003</v>
      </c>
      <c r="ES36" s="25">
        <v>10.071</v>
      </c>
      <c r="ET36" s="25">
        <v>0.29399999999999998</v>
      </c>
      <c r="EU36" s="25">
        <v>0.29399999999999998</v>
      </c>
      <c r="EV36" s="25">
        <v>0.29399999999999998</v>
      </c>
      <c r="EW36" s="25"/>
    </row>
    <row r="37" spans="1:153" ht="17.25" customHeight="1" x14ac:dyDescent="0.25">
      <c r="A37" s="25" t="s">
        <v>154</v>
      </c>
      <c r="B37" s="25">
        <v>7.1719999999999997</v>
      </c>
      <c r="C37" s="25">
        <v>5.9210000000000003</v>
      </c>
      <c r="D37" s="25">
        <v>5.3090000000000002</v>
      </c>
      <c r="E37" s="25">
        <v>3.9220000000000002</v>
      </c>
      <c r="F37" s="25">
        <v>4.032</v>
      </c>
      <c r="G37" s="25">
        <v>2.0259999999999998</v>
      </c>
      <c r="H37" s="25">
        <v>1.2729999999999999</v>
      </c>
      <c r="I37" s="25">
        <v>0</v>
      </c>
      <c r="J37" s="25">
        <v>0.51100000000000001</v>
      </c>
      <c r="K37" s="25">
        <v>1.286</v>
      </c>
      <c r="L37" s="25">
        <v>2.242</v>
      </c>
      <c r="M37" s="25">
        <v>4.38</v>
      </c>
      <c r="N37" s="25">
        <v>3.012</v>
      </c>
      <c r="O37" s="25">
        <v>1.5669999999999999</v>
      </c>
      <c r="P37" s="25">
        <v>2.7810000000000001</v>
      </c>
      <c r="Q37" s="25">
        <v>3.2229999999999999</v>
      </c>
      <c r="R37" s="25">
        <v>3.4870000000000001</v>
      </c>
      <c r="S37" s="25">
        <v>4.0339999999999998</v>
      </c>
      <c r="T37" s="25">
        <v>4.2969999999999997</v>
      </c>
      <c r="U37" s="25">
        <v>6.2839999999999998</v>
      </c>
      <c r="V37" s="25">
        <v>5.4470000000000001</v>
      </c>
      <c r="W37" s="25">
        <v>4.72</v>
      </c>
      <c r="X37" s="25">
        <v>8.2959999999999994</v>
      </c>
      <c r="Y37" s="25">
        <v>11.696999999999999</v>
      </c>
      <c r="Z37" s="25">
        <v>13.173</v>
      </c>
      <c r="AA37" s="25">
        <v>16.41</v>
      </c>
      <c r="AB37" s="25">
        <v>18.145</v>
      </c>
      <c r="AC37" s="25">
        <v>25.027999999999999</v>
      </c>
      <c r="AD37" s="25">
        <v>8.0500000000000007</v>
      </c>
      <c r="AE37" s="25">
        <v>8.9290000000000003</v>
      </c>
      <c r="AF37" s="25">
        <v>4.6130000000000004</v>
      </c>
      <c r="AG37" s="25">
        <v>3.706</v>
      </c>
      <c r="AH37" s="25">
        <v>5.9210000000000003</v>
      </c>
      <c r="AI37" s="25">
        <v>1.5669999999999999</v>
      </c>
      <c r="AJ37" s="25">
        <v>1.2729999999999999</v>
      </c>
      <c r="AK37" s="25">
        <v>0</v>
      </c>
      <c r="AL37" s="25">
        <v>3.2229999999999999</v>
      </c>
      <c r="AM37" s="25">
        <v>3.444</v>
      </c>
      <c r="AN37" s="25">
        <v>11.493</v>
      </c>
      <c r="AO37" s="25">
        <v>1.5669999999999999</v>
      </c>
      <c r="AP37" s="25">
        <v>9.2089999999999996</v>
      </c>
      <c r="AQ37" s="25">
        <v>6.4029999999999996</v>
      </c>
      <c r="AR37" s="25">
        <v>1.5669999999999999</v>
      </c>
      <c r="AS37" s="25">
        <v>1.5669999999999999</v>
      </c>
      <c r="AT37" s="25">
        <v>1.5669999999999999</v>
      </c>
      <c r="AU37" s="25">
        <v>5.6360000000000001</v>
      </c>
      <c r="AV37" s="25">
        <v>1.5669999999999999</v>
      </c>
      <c r="AW37" s="25">
        <v>5.2629999999999999</v>
      </c>
      <c r="AX37" s="25">
        <v>7.194</v>
      </c>
      <c r="AY37" s="25">
        <v>1.5669999999999999</v>
      </c>
      <c r="AZ37" s="25">
        <v>2.5609999999999999</v>
      </c>
      <c r="BA37" s="25">
        <v>1.5669999999999999</v>
      </c>
      <c r="BB37" s="25">
        <v>3</v>
      </c>
      <c r="BC37" s="25">
        <v>1.5669999999999999</v>
      </c>
      <c r="BD37" s="25">
        <v>1.9850000000000001</v>
      </c>
      <c r="BE37" s="25">
        <v>1.5669999999999999</v>
      </c>
      <c r="BF37" s="25">
        <v>38.159999999999997</v>
      </c>
      <c r="BG37" s="25">
        <v>1.5669999999999999</v>
      </c>
      <c r="BH37" s="25">
        <v>1.5669999999999999</v>
      </c>
      <c r="BI37" s="25">
        <v>26.338999999999999</v>
      </c>
      <c r="BJ37" s="25">
        <v>1.5669999999999999</v>
      </c>
      <c r="BK37" s="25">
        <v>1.5669999999999999</v>
      </c>
      <c r="BL37" s="25">
        <v>1.5669999999999999</v>
      </c>
      <c r="BM37" s="25">
        <v>1.5669999999999999</v>
      </c>
      <c r="BN37" s="25">
        <v>1.5669999999999999</v>
      </c>
      <c r="BO37" s="25">
        <v>1.5669999999999999</v>
      </c>
      <c r="BP37" s="25">
        <v>6.2649999999999997</v>
      </c>
      <c r="BQ37" s="25">
        <v>4.2830000000000004</v>
      </c>
      <c r="BR37" s="25">
        <v>1.5669999999999999</v>
      </c>
      <c r="BS37" s="25">
        <v>1.5669999999999999</v>
      </c>
      <c r="BT37" s="25">
        <v>1.5669999999999999</v>
      </c>
      <c r="BU37" s="25">
        <v>8.4700000000000006</v>
      </c>
      <c r="BV37" s="25">
        <v>1.5669999999999999</v>
      </c>
      <c r="BW37" s="25">
        <v>1.5669999999999999</v>
      </c>
      <c r="BX37" s="25">
        <v>2.871</v>
      </c>
      <c r="BY37" s="25">
        <v>3.2280000000000002</v>
      </c>
      <c r="BZ37" s="25">
        <v>4.0469999999999997</v>
      </c>
      <c r="CA37" s="25">
        <v>1.5669999999999999</v>
      </c>
      <c r="CB37" s="25">
        <v>1.5669999999999999</v>
      </c>
      <c r="CC37" s="25">
        <v>9.8529999999999998</v>
      </c>
      <c r="CD37" s="25">
        <v>11.696999999999999</v>
      </c>
      <c r="CE37" s="25">
        <v>1.5669999999999999</v>
      </c>
      <c r="CF37" s="25">
        <v>18.367000000000001</v>
      </c>
      <c r="CG37" s="25">
        <v>26.427</v>
      </c>
      <c r="CH37" s="25">
        <v>1.5669999999999999</v>
      </c>
      <c r="CI37" s="25">
        <v>1.5669999999999999</v>
      </c>
      <c r="CJ37" s="25">
        <v>1.5669999999999999</v>
      </c>
      <c r="CK37" s="25">
        <v>1.5669999999999999</v>
      </c>
      <c r="CL37" s="25">
        <v>1.5669999999999999</v>
      </c>
      <c r="CM37" s="25">
        <v>1.5669999999999999</v>
      </c>
      <c r="CN37" s="25">
        <v>1.5669999999999999</v>
      </c>
      <c r="CO37" s="25">
        <v>1.5669999999999999</v>
      </c>
      <c r="CP37" s="25">
        <v>1.5669999999999999</v>
      </c>
      <c r="CQ37" s="25">
        <v>1.5669999999999999</v>
      </c>
      <c r="CR37" s="25">
        <v>1.5669999999999999</v>
      </c>
      <c r="CS37" s="25">
        <v>45.039000000000001</v>
      </c>
      <c r="CT37" s="25">
        <v>1.5669999999999999</v>
      </c>
      <c r="CU37" s="25">
        <v>1.5669999999999999</v>
      </c>
      <c r="CV37" s="25">
        <v>1.8129999999999999</v>
      </c>
      <c r="CW37" s="25">
        <v>1.5669999999999999</v>
      </c>
      <c r="CX37" s="25">
        <v>1.5669999999999999</v>
      </c>
      <c r="CY37" s="25">
        <v>1.5669999999999999</v>
      </c>
      <c r="CZ37" s="25">
        <v>7.7510000000000003</v>
      </c>
      <c r="DA37" s="25">
        <v>3.4529999999999998</v>
      </c>
      <c r="DB37" s="25">
        <v>15.301</v>
      </c>
      <c r="DC37" s="25">
        <v>14.634</v>
      </c>
      <c r="DD37" s="25">
        <v>5.3289999999999997</v>
      </c>
      <c r="DE37" s="25">
        <v>15.125</v>
      </c>
      <c r="DF37" s="25">
        <v>1.5669999999999999</v>
      </c>
      <c r="DG37" s="25">
        <v>10.544</v>
      </c>
      <c r="DH37" s="25">
        <v>36.081000000000003</v>
      </c>
      <c r="DI37" s="25">
        <v>1.5669999999999999</v>
      </c>
      <c r="DJ37" s="25">
        <v>1.5669999999999999</v>
      </c>
      <c r="DK37" s="25">
        <v>2.63</v>
      </c>
      <c r="DL37" s="25">
        <v>1.5669999999999999</v>
      </c>
      <c r="DM37" s="25">
        <v>15.125</v>
      </c>
      <c r="DN37" s="25">
        <v>1.5669999999999999</v>
      </c>
      <c r="DO37" s="25">
        <v>1.5669999999999999</v>
      </c>
      <c r="DP37" s="25">
        <v>1.5669999999999999</v>
      </c>
      <c r="DQ37" s="25">
        <v>1.5669999999999999</v>
      </c>
      <c r="DR37" s="25">
        <v>1.5669999999999999</v>
      </c>
      <c r="DS37" s="25">
        <v>1.5669999999999999</v>
      </c>
      <c r="DT37" s="25">
        <v>1.5669999999999999</v>
      </c>
      <c r="DU37" s="25">
        <v>6.8559999999999999</v>
      </c>
      <c r="DV37" s="25">
        <v>1.5669999999999999</v>
      </c>
      <c r="DW37" s="25">
        <v>6.82</v>
      </c>
      <c r="DX37" s="25">
        <v>12.441000000000001</v>
      </c>
      <c r="DY37" s="25">
        <v>1.5669999999999999</v>
      </c>
      <c r="DZ37" s="25">
        <v>12.706</v>
      </c>
      <c r="EA37" s="25">
        <v>1.5669999999999999</v>
      </c>
      <c r="EB37" s="25">
        <v>10.515000000000001</v>
      </c>
      <c r="EC37" s="25">
        <v>1.5669999999999999</v>
      </c>
      <c r="ED37" s="25">
        <v>1.5669999999999999</v>
      </c>
      <c r="EE37" s="25">
        <v>1.5669999999999999</v>
      </c>
      <c r="EF37" s="25">
        <v>1.5669999999999999</v>
      </c>
      <c r="EG37" s="25">
        <v>7.99</v>
      </c>
      <c r="EH37" s="25">
        <v>5.6689999999999996</v>
      </c>
      <c r="EI37" s="25">
        <v>1.5669999999999999</v>
      </c>
      <c r="EJ37" s="25">
        <v>3.2229999999999999</v>
      </c>
      <c r="EK37" s="25">
        <v>1.5669999999999999</v>
      </c>
      <c r="EL37" s="25">
        <v>1.5669999999999999</v>
      </c>
      <c r="EM37" s="25">
        <v>4.0860000000000003</v>
      </c>
      <c r="EN37" s="25">
        <v>1.5669999999999999</v>
      </c>
      <c r="EO37" s="25">
        <v>4.9320000000000004</v>
      </c>
      <c r="EP37" s="25">
        <v>1.5669999999999999</v>
      </c>
      <c r="EQ37" s="25">
        <v>1.5669999999999999</v>
      </c>
      <c r="ER37" s="25">
        <v>44.195</v>
      </c>
      <c r="ES37" s="25">
        <v>8.8390000000000004</v>
      </c>
      <c r="ET37" s="25">
        <v>1.5669999999999999</v>
      </c>
      <c r="EU37" s="25">
        <v>1.5669999999999999</v>
      </c>
      <c r="EV37" s="25">
        <v>1.5669999999999999</v>
      </c>
      <c r="EW37" s="25"/>
    </row>
    <row r="38" spans="1:153" ht="17.25" customHeight="1" x14ac:dyDescent="0.25">
      <c r="A38" s="25" t="s">
        <v>155</v>
      </c>
      <c r="B38" s="25">
        <v>6.8360000000000003</v>
      </c>
      <c r="C38" s="25">
        <v>5.4930000000000003</v>
      </c>
      <c r="D38" s="25">
        <v>4.8550000000000004</v>
      </c>
      <c r="E38" s="25">
        <v>3.4940000000000002</v>
      </c>
      <c r="F38" s="25">
        <v>2.8079999999999998</v>
      </c>
      <c r="G38" s="25">
        <v>1.6240000000000001</v>
      </c>
      <c r="H38" s="25">
        <v>2.1150000000000002</v>
      </c>
      <c r="I38" s="25">
        <v>3.226</v>
      </c>
      <c r="J38" s="25">
        <v>3.4369999999999998</v>
      </c>
      <c r="K38" s="25">
        <v>3.7709999999999999</v>
      </c>
      <c r="L38" s="25">
        <v>4.8090000000000002</v>
      </c>
      <c r="M38" s="25">
        <v>5.21</v>
      </c>
      <c r="N38" s="25">
        <v>3.8159999999999998</v>
      </c>
      <c r="O38" s="25">
        <v>1.82</v>
      </c>
      <c r="P38" s="25">
        <v>0.78200000000000003</v>
      </c>
      <c r="Q38" s="25">
        <v>0</v>
      </c>
      <c r="R38" s="25">
        <v>1.645</v>
      </c>
      <c r="S38" s="25">
        <v>2.7240000000000002</v>
      </c>
      <c r="T38" s="25">
        <v>2.9870000000000001</v>
      </c>
      <c r="U38" s="25">
        <v>5.3120000000000003</v>
      </c>
      <c r="V38" s="25">
        <v>4.4749999999999996</v>
      </c>
      <c r="W38" s="25">
        <v>3.7480000000000002</v>
      </c>
      <c r="X38" s="25">
        <v>12.179</v>
      </c>
      <c r="Y38" s="25">
        <v>13.933</v>
      </c>
      <c r="Z38" s="25">
        <v>15.407999999999999</v>
      </c>
      <c r="AA38" s="25">
        <v>15.1</v>
      </c>
      <c r="AB38" s="25">
        <v>16.835000000000001</v>
      </c>
      <c r="AC38" s="25">
        <v>23.718</v>
      </c>
      <c r="AD38" s="25">
        <v>11.933</v>
      </c>
      <c r="AE38" s="25">
        <v>9.5790000000000006</v>
      </c>
      <c r="AF38" s="25">
        <v>8.5129999999999999</v>
      </c>
      <c r="AG38" s="25">
        <v>8.8019999999999996</v>
      </c>
      <c r="AH38" s="25">
        <v>5.4930000000000003</v>
      </c>
      <c r="AI38" s="25">
        <v>1.82</v>
      </c>
      <c r="AJ38" s="25">
        <v>2.1150000000000002</v>
      </c>
      <c r="AK38" s="25">
        <v>3.226</v>
      </c>
      <c r="AL38" s="25">
        <v>0</v>
      </c>
      <c r="AM38" s="25">
        <v>8.6050000000000004</v>
      </c>
      <c r="AN38" s="25">
        <v>10.292</v>
      </c>
      <c r="AO38" s="25">
        <v>1.82</v>
      </c>
      <c r="AP38" s="25">
        <v>12.319000000000001</v>
      </c>
      <c r="AQ38" s="25">
        <v>4.806</v>
      </c>
      <c r="AR38" s="25">
        <v>1.82</v>
      </c>
      <c r="AS38" s="25">
        <v>1.82</v>
      </c>
      <c r="AT38" s="25">
        <v>1.82</v>
      </c>
      <c r="AU38" s="25">
        <v>5.8440000000000003</v>
      </c>
      <c r="AV38" s="25">
        <v>1.82</v>
      </c>
      <c r="AW38" s="25">
        <v>2.7919999999999998</v>
      </c>
      <c r="AX38" s="25">
        <v>7.99</v>
      </c>
      <c r="AY38" s="25">
        <v>1.82</v>
      </c>
      <c r="AZ38" s="25">
        <v>3.72</v>
      </c>
      <c r="BA38" s="25">
        <v>1.82</v>
      </c>
      <c r="BB38" s="25">
        <v>0.88500000000000001</v>
      </c>
      <c r="BC38" s="25">
        <v>1.82</v>
      </c>
      <c r="BD38" s="25">
        <v>3.1440000000000001</v>
      </c>
      <c r="BE38" s="25">
        <v>1.82</v>
      </c>
      <c r="BF38" s="25">
        <v>36.85</v>
      </c>
      <c r="BG38" s="25">
        <v>1.82</v>
      </c>
      <c r="BH38" s="25">
        <v>1.82</v>
      </c>
      <c r="BI38" s="25">
        <v>25.029</v>
      </c>
      <c r="BJ38" s="25">
        <v>1.82</v>
      </c>
      <c r="BK38" s="25">
        <v>1.82</v>
      </c>
      <c r="BL38" s="25">
        <v>1.82</v>
      </c>
      <c r="BM38" s="25">
        <v>1.82</v>
      </c>
      <c r="BN38" s="25">
        <v>1.82</v>
      </c>
      <c r="BO38" s="25">
        <v>1.82</v>
      </c>
      <c r="BP38" s="25">
        <v>5.2930000000000001</v>
      </c>
      <c r="BQ38" s="25">
        <v>2.7010000000000001</v>
      </c>
      <c r="BR38" s="25">
        <v>1.82</v>
      </c>
      <c r="BS38" s="25">
        <v>1.82</v>
      </c>
      <c r="BT38" s="25">
        <v>1.82</v>
      </c>
      <c r="BU38" s="25">
        <v>6.6740000000000004</v>
      </c>
      <c r="BV38" s="25">
        <v>1.82</v>
      </c>
      <c r="BW38" s="25">
        <v>1.82</v>
      </c>
      <c r="BX38" s="25">
        <v>4.4059999999999997</v>
      </c>
      <c r="BY38" s="25">
        <v>2.8260000000000001</v>
      </c>
      <c r="BZ38" s="25">
        <v>2.7389999999999999</v>
      </c>
      <c r="CA38" s="25">
        <v>1.82</v>
      </c>
      <c r="CB38" s="25">
        <v>1.82</v>
      </c>
      <c r="CC38" s="25">
        <v>13.028</v>
      </c>
      <c r="CD38" s="25">
        <v>13.933</v>
      </c>
      <c r="CE38" s="25">
        <v>1.82</v>
      </c>
      <c r="CF38" s="25">
        <v>17.056999999999999</v>
      </c>
      <c r="CG38" s="25">
        <v>25.117000000000001</v>
      </c>
      <c r="CH38" s="25">
        <v>1.82</v>
      </c>
      <c r="CI38" s="25">
        <v>1.82</v>
      </c>
      <c r="CJ38" s="25">
        <v>1.82</v>
      </c>
      <c r="CK38" s="25">
        <v>1.82</v>
      </c>
      <c r="CL38" s="25">
        <v>1.82</v>
      </c>
      <c r="CM38" s="25">
        <v>1.82</v>
      </c>
      <c r="CN38" s="25">
        <v>1.82</v>
      </c>
      <c r="CO38" s="25">
        <v>1.82</v>
      </c>
      <c r="CP38" s="25">
        <v>1.82</v>
      </c>
      <c r="CQ38" s="25">
        <v>1.82</v>
      </c>
      <c r="CR38" s="25">
        <v>1.82</v>
      </c>
      <c r="CS38" s="25">
        <v>43.728999999999999</v>
      </c>
      <c r="CT38" s="25">
        <v>1.82</v>
      </c>
      <c r="CU38" s="25">
        <v>1.82</v>
      </c>
      <c r="CV38" s="25">
        <v>2.4889999999999999</v>
      </c>
      <c r="CW38" s="25">
        <v>1.82</v>
      </c>
      <c r="CX38" s="25">
        <v>1.82</v>
      </c>
      <c r="CY38" s="25">
        <v>1.82</v>
      </c>
      <c r="CZ38" s="25">
        <v>5.9550000000000001</v>
      </c>
      <c r="DA38" s="25">
        <v>0.98199999999999998</v>
      </c>
      <c r="DB38" s="25">
        <v>17.536000000000001</v>
      </c>
      <c r="DC38" s="25">
        <v>16.869</v>
      </c>
      <c r="DD38" s="25">
        <v>4.9009999999999998</v>
      </c>
      <c r="DE38" s="25">
        <v>18.832999999999998</v>
      </c>
      <c r="DF38" s="25">
        <v>1.82</v>
      </c>
      <c r="DG38" s="25">
        <v>6.2910000000000004</v>
      </c>
      <c r="DH38" s="25">
        <v>34.771000000000001</v>
      </c>
      <c r="DI38" s="25">
        <v>1.82</v>
      </c>
      <c r="DJ38" s="25">
        <v>1.82</v>
      </c>
      <c r="DK38" s="25">
        <v>1.1930000000000001</v>
      </c>
      <c r="DL38" s="25">
        <v>1.82</v>
      </c>
      <c r="DM38" s="25">
        <v>18.832999999999998</v>
      </c>
      <c r="DN38" s="25">
        <v>1.82</v>
      </c>
      <c r="DO38" s="25">
        <v>1.82</v>
      </c>
      <c r="DP38" s="25">
        <v>1.82</v>
      </c>
      <c r="DQ38" s="25">
        <v>1.82</v>
      </c>
      <c r="DR38" s="25">
        <v>1.82</v>
      </c>
      <c r="DS38" s="25">
        <v>1.82</v>
      </c>
      <c r="DT38" s="25">
        <v>1.82</v>
      </c>
      <c r="DU38" s="25">
        <v>4.3849999999999998</v>
      </c>
      <c r="DV38" s="25">
        <v>1.82</v>
      </c>
      <c r="DW38" s="25">
        <v>10.702999999999999</v>
      </c>
      <c r="DX38" s="25">
        <v>13.266</v>
      </c>
      <c r="DY38" s="25">
        <v>1.82</v>
      </c>
      <c r="DZ38" s="25">
        <v>13.531000000000001</v>
      </c>
      <c r="EA38" s="25">
        <v>1.82</v>
      </c>
      <c r="EB38" s="25">
        <v>6.2619999999999996</v>
      </c>
      <c r="EC38" s="25">
        <v>1.82</v>
      </c>
      <c r="ED38" s="25">
        <v>1.82</v>
      </c>
      <c r="EE38" s="25">
        <v>1.82</v>
      </c>
      <c r="EF38" s="25">
        <v>1.82</v>
      </c>
      <c r="EG38" s="25">
        <v>5.5190000000000001</v>
      </c>
      <c r="EH38" s="25">
        <v>8.3490000000000002</v>
      </c>
      <c r="EI38" s="25">
        <v>1.82</v>
      </c>
      <c r="EJ38" s="25">
        <v>0</v>
      </c>
      <c r="EK38" s="25">
        <v>1.82</v>
      </c>
      <c r="EL38" s="25">
        <v>1.82</v>
      </c>
      <c r="EM38" s="25">
        <v>3.6920000000000002</v>
      </c>
      <c r="EN38" s="25">
        <v>1.82</v>
      </c>
      <c r="EO38" s="25">
        <v>3.3940000000000001</v>
      </c>
      <c r="EP38" s="25">
        <v>1.82</v>
      </c>
      <c r="EQ38" s="25">
        <v>1.82</v>
      </c>
      <c r="ER38" s="25">
        <v>42.884999999999998</v>
      </c>
      <c r="ES38" s="25">
        <v>12.722</v>
      </c>
      <c r="ET38" s="25">
        <v>1.82</v>
      </c>
      <c r="EU38" s="25">
        <v>1.82</v>
      </c>
      <c r="EV38" s="25">
        <v>1.82</v>
      </c>
      <c r="EW38" s="25"/>
    </row>
    <row r="39" spans="1:153" ht="17.25" customHeight="1" x14ac:dyDescent="0.25">
      <c r="A39" s="25" t="s">
        <v>156</v>
      </c>
      <c r="B39" s="25">
        <v>15.706</v>
      </c>
      <c r="C39" s="25">
        <v>9.3439999999999994</v>
      </c>
      <c r="D39" s="25">
        <v>8.7319999999999993</v>
      </c>
      <c r="E39" s="25">
        <v>7.3449999999999998</v>
      </c>
      <c r="F39" s="25">
        <v>7.4550000000000001</v>
      </c>
      <c r="G39" s="25">
        <v>5.4489999999999998</v>
      </c>
      <c r="H39" s="25">
        <v>4.6959999999999997</v>
      </c>
      <c r="I39" s="25">
        <v>3.4630000000000001</v>
      </c>
      <c r="J39" s="25">
        <v>3.2669999999999999</v>
      </c>
      <c r="K39" s="25">
        <v>2.468</v>
      </c>
      <c r="L39" s="25">
        <v>1.7030000000000001</v>
      </c>
      <c r="M39" s="25">
        <v>7.8029999999999999</v>
      </c>
      <c r="N39" s="25">
        <v>6.4349999999999996</v>
      </c>
      <c r="O39" s="25">
        <v>4.99</v>
      </c>
      <c r="P39" s="25">
        <v>5.5289999999999999</v>
      </c>
      <c r="Q39" s="25">
        <v>5.9710000000000001</v>
      </c>
      <c r="R39" s="25">
        <v>7.6959999999999997</v>
      </c>
      <c r="S39" s="25">
        <v>6.9429999999999996</v>
      </c>
      <c r="T39" s="25">
        <v>7.2060000000000004</v>
      </c>
      <c r="U39" s="25">
        <v>6.1269999999999998</v>
      </c>
      <c r="V39" s="25">
        <v>8.3629999999999995</v>
      </c>
      <c r="W39" s="25">
        <v>7.6360000000000001</v>
      </c>
      <c r="X39" s="25">
        <v>4.9279999999999999</v>
      </c>
      <c r="Y39" s="25">
        <v>18.149000000000001</v>
      </c>
      <c r="Z39" s="25">
        <v>19.623999999999999</v>
      </c>
      <c r="AA39" s="25">
        <v>19.315000000000001</v>
      </c>
      <c r="AB39" s="25">
        <v>21.05</v>
      </c>
      <c r="AC39" s="25">
        <v>27.933</v>
      </c>
      <c r="AD39" s="25">
        <v>4.6820000000000004</v>
      </c>
      <c r="AE39" s="25">
        <v>15.678000000000001</v>
      </c>
      <c r="AF39" s="25">
        <v>1.1259999999999999</v>
      </c>
      <c r="AG39" s="25">
        <v>0.35099999999999998</v>
      </c>
      <c r="AH39" s="25">
        <v>9.3439999999999994</v>
      </c>
      <c r="AI39" s="25">
        <v>4.99</v>
      </c>
      <c r="AJ39" s="25">
        <v>4.6959999999999997</v>
      </c>
      <c r="AK39" s="25">
        <v>3.4630000000000001</v>
      </c>
      <c r="AL39" s="25">
        <v>5.9710000000000001</v>
      </c>
      <c r="AM39" s="25">
        <v>0</v>
      </c>
      <c r="AN39" s="25">
        <v>10.130000000000001</v>
      </c>
      <c r="AO39" s="25">
        <v>4.99</v>
      </c>
      <c r="AP39" s="25">
        <v>16.535</v>
      </c>
      <c r="AQ39" s="25">
        <v>16.225000000000001</v>
      </c>
      <c r="AR39" s="25">
        <v>4.99</v>
      </c>
      <c r="AS39" s="25">
        <v>4.99</v>
      </c>
      <c r="AT39" s="25">
        <v>4.99</v>
      </c>
      <c r="AU39" s="25">
        <v>9.0719999999999992</v>
      </c>
      <c r="AV39" s="25">
        <v>4.99</v>
      </c>
      <c r="AW39" s="25">
        <v>9.5220000000000002</v>
      </c>
      <c r="AX39" s="25">
        <v>10.617000000000001</v>
      </c>
      <c r="AY39" s="25">
        <v>4.99</v>
      </c>
      <c r="AZ39" s="25">
        <v>5.984</v>
      </c>
      <c r="BA39" s="25">
        <v>4.99</v>
      </c>
      <c r="BB39" s="25">
        <v>5.5990000000000002</v>
      </c>
      <c r="BC39" s="25">
        <v>4.99</v>
      </c>
      <c r="BD39" s="25">
        <v>5.4080000000000004</v>
      </c>
      <c r="BE39" s="25">
        <v>4.99</v>
      </c>
      <c r="BF39" s="25">
        <v>41.064999999999998</v>
      </c>
      <c r="BG39" s="25">
        <v>4.99</v>
      </c>
      <c r="BH39" s="25">
        <v>4.99</v>
      </c>
      <c r="BI39" s="25">
        <v>29.245000000000001</v>
      </c>
      <c r="BJ39" s="25">
        <v>4.99</v>
      </c>
      <c r="BK39" s="25">
        <v>4.99</v>
      </c>
      <c r="BL39" s="25">
        <v>4.99</v>
      </c>
      <c r="BM39" s="25">
        <v>4.99</v>
      </c>
      <c r="BN39" s="25">
        <v>4.99</v>
      </c>
      <c r="BO39" s="25">
        <v>4.99</v>
      </c>
      <c r="BP39" s="25">
        <v>9.1809999999999992</v>
      </c>
      <c r="BQ39" s="25">
        <v>7.7060000000000004</v>
      </c>
      <c r="BR39" s="25">
        <v>4.99</v>
      </c>
      <c r="BS39" s="25">
        <v>4.99</v>
      </c>
      <c r="BT39" s="25">
        <v>4.99</v>
      </c>
      <c r="BU39" s="25">
        <v>11.31</v>
      </c>
      <c r="BV39" s="25">
        <v>4.99</v>
      </c>
      <c r="BW39" s="25">
        <v>4.99</v>
      </c>
      <c r="BX39" s="25">
        <v>2.3450000000000002</v>
      </c>
      <c r="BY39" s="25">
        <v>7.032</v>
      </c>
      <c r="BZ39" s="25">
        <v>7.47</v>
      </c>
      <c r="CA39" s="25">
        <v>4.99</v>
      </c>
      <c r="CB39" s="25">
        <v>4.99</v>
      </c>
      <c r="CC39" s="25">
        <v>17.244</v>
      </c>
      <c r="CD39" s="25">
        <v>18.149000000000001</v>
      </c>
      <c r="CE39" s="25">
        <v>4.99</v>
      </c>
      <c r="CF39" s="25">
        <v>21.271999999999998</v>
      </c>
      <c r="CG39" s="25">
        <v>29.332000000000001</v>
      </c>
      <c r="CH39" s="25">
        <v>4.99</v>
      </c>
      <c r="CI39" s="25">
        <v>4.99</v>
      </c>
      <c r="CJ39" s="25">
        <v>4.99</v>
      </c>
      <c r="CK39" s="25">
        <v>4.99</v>
      </c>
      <c r="CL39" s="25">
        <v>4.99</v>
      </c>
      <c r="CM39" s="25">
        <v>4.99</v>
      </c>
      <c r="CN39" s="25">
        <v>4.99</v>
      </c>
      <c r="CO39" s="25">
        <v>4.99</v>
      </c>
      <c r="CP39" s="25">
        <v>4.99</v>
      </c>
      <c r="CQ39" s="25">
        <v>4.99</v>
      </c>
      <c r="CR39" s="25">
        <v>4.99</v>
      </c>
      <c r="CS39" s="25">
        <v>47.945</v>
      </c>
      <c r="CT39" s="25">
        <v>4.99</v>
      </c>
      <c r="CU39" s="25">
        <v>4.99</v>
      </c>
      <c r="CV39" s="25">
        <v>3.4140000000000001</v>
      </c>
      <c r="CW39" s="25">
        <v>4.99</v>
      </c>
      <c r="CX39" s="25">
        <v>4.99</v>
      </c>
      <c r="CY39" s="25">
        <v>4.99</v>
      </c>
      <c r="CZ39" s="25">
        <v>10.590999999999999</v>
      </c>
      <c r="DA39" s="25">
        <v>6.2009999999999996</v>
      </c>
      <c r="DB39" s="25">
        <v>21.751999999999999</v>
      </c>
      <c r="DC39" s="25">
        <v>21.085000000000001</v>
      </c>
      <c r="DD39" s="25">
        <v>8.7520000000000007</v>
      </c>
      <c r="DE39" s="25">
        <v>11.451000000000001</v>
      </c>
      <c r="DF39" s="25">
        <v>4.99</v>
      </c>
      <c r="DG39" s="25">
        <v>13.45</v>
      </c>
      <c r="DH39" s="25">
        <v>38.985999999999997</v>
      </c>
      <c r="DI39" s="25">
        <v>4.99</v>
      </c>
      <c r="DJ39" s="25">
        <v>4.99</v>
      </c>
      <c r="DK39" s="25">
        <v>5.3789999999999996</v>
      </c>
      <c r="DL39" s="25">
        <v>4.99</v>
      </c>
      <c r="DM39" s="25">
        <v>11.451000000000001</v>
      </c>
      <c r="DN39" s="25">
        <v>4.99</v>
      </c>
      <c r="DO39" s="25">
        <v>4.99</v>
      </c>
      <c r="DP39" s="25">
        <v>4.99</v>
      </c>
      <c r="DQ39" s="25">
        <v>4.99</v>
      </c>
      <c r="DR39" s="25">
        <v>4.99</v>
      </c>
      <c r="DS39" s="25">
        <v>4.99</v>
      </c>
      <c r="DT39" s="25">
        <v>4.99</v>
      </c>
      <c r="DU39" s="25">
        <v>15.708</v>
      </c>
      <c r="DV39" s="25">
        <v>4.99</v>
      </c>
      <c r="DW39" s="25">
        <v>3.452</v>
      </c>
      <c r="DX39" s="25">
        <v>11.003</v>
      </c>
      <c r="DY39" s="25">
        <v>4.99</v>
      </c>
      <c r="DZ39" s="25">
        <v>11.268000000000001</v>
      </c>
      <c r="EA39" s="25">
        <v>4.99</v>
      </c>
      <c r="EB39" s="25">
        <v>13.420999999999999</v>
      </c>
      <c r="EC39" s="25">
        <v>4.99</v>
      </c>
      <c r="ED39" s="25">
        <v>4.99</v>
      </c>
      <c r="EE39" s="25">
        <v>4.99</v>
      </c>
      <c r="EF39" s="25">
        <v>4.99</v>
      </c>
      <c r="EG39" s="25">
        <v>14.263</v>
      </c>
      <c r="EH39" s="25">
        <v>4.7309999999999999</v>
      </c>
      <c r="EI39" s="25">
        <v>4.99</v>
      </c>
      <c r="EJ39" s="25">
        <v>5.9710000000000001</v>
      </c>
      <c r="EK39" s="25">
        <v>4.99</v>
      </c>
      <c r="EL39" s="25">
        <v>4.99</v>
      </c>
      <c r="EM39" s="25">
        <v>4.6120000000000001</v>
      </c>
      <c r="EN39" s="25">
        <v>4.99</v>
      </c>
      <c r="EO39" s="25">
        <v>8.0299999999999994</v>
      </c>
      <c r="EP39" s="25">
        <v>4.99</v>
      </c>
      <c r="EQ39" s="25">
        <v>4.99</v>
      </c>
      <c r="ER39" s="25">
        <v>47.1</v>
      </c>
      <c r="ES39" s="25">
        <v>5.4710000000000001</v>
      </c>
      <c r="ET39" s="25">
        <v>4.99</v>
      </c>
      <c r="EU39" s="25">
        <v>4.99</v>
      </c>
      <c r="EV39" s="25">
        <v>4.99</v>
      </c>
      <c r="EW39" s="25"/>
    </row>
    <row r="40" spans="1:153" ht="17.25" customHeight="1" x14ac:dyDescent="0.25">
      <c r="A40" s="25" t="s">
        <v>157</v>
      </c>
      <c r="B40" s="25">
        <v>14.541</v>
      </c>
      <c r="C40" s="25">
        <v>12.339</v>
      </c>
      <c r="D40" s="25">
        <v>11.738</v>
      </c>
      <c r="E40" s="25">
        <v>11.14</v>
      </c>
      <c r="F40" s="25">
        <v>10.455</v>
      </c>
      <c r="G40" s="25">
        <v>10.196</v>
      </c>
      <c r="H40" s="25">
        <v>10.888999999999999</v>
      </c>
      <c r="I40" s="25">
        <v>10.053000000000001</v>
      </c>
      <c r="J40" s="25">
        <v>13.965</v>
      </c>
      <c r="K40" s="25">
        <v>13.166</v>
      </c>
      <c r="L40" s="25">
        <v>12.401</v>
      </c>
      <c r="M40" s="25">
        <v>14.683999999999999</v>
      </c>
      <c r="N40" s="25">
        <v>12.505000000000001</v>
      </c>
      <c r="O40" s="25">
        <v>10.595000000000001</v>
      </c>
      <c r="P40" s="25">
        <v>9.3539999999999992</v>
      </c>
      <c r="Q40" s="25">
        <v>8.5719999999999992</v>
      </c>
      <c r="R40" s="25">
        <v>7.5359999999999996</v>
      </c>
      <c r="S40" s="25">
        <v>6.7830000000000004</v>
      </c>
      <c r="T40" s="25">
        <v>6.1509999999999998</v>
      </c>
      <c r="U40" s="25">
        <v>3.7519999999999998</v>
      </c>
      <c r="V40" s="25">
        <v>4.593</v>
      </c>
      <c r="W40" s="25">
        <v>5.32</v>
      </c>
      <c r="X40" s="25">
        <v>11.496</v>
      </c>
      <c r="Y40" s="25">
        <v>16.984000000000002</v>
      </c>
      <c r="Z40" s="25">
        <v>18.459</v>
      </c>
      <c r="AA40" s="25">
        <v>18.151</v>
      </c>
      <c r="AB40" s="25">
        <v>19.885999999999999</v>
      </c>
      <c r="AC40" s="25">
        <v>26.768999999999998</v>
      </c>
      <c r="AD40" s="25">
        <v>12.503</v>
      </c>
      <c r="AE40" s="25">
        <v>14.513</v>
      </c>
      <c r="AF40" s="25">
        <v>10.798999999999999</v>
      </c>
      <c r="AG40" s="25">
        <v>9.7929999999999993</v>
      </c>
      <c r="AH40" s="25">
        <v>12.339</v>
      </c>
      <c r="AI40" s="25">
        <v>10.595000000000001</v>
      </c>
      <c r="AJ40" s="25">
        <v>10.888999999999999</v>
      </c>
      <c r="AK40" s="25">
        <v>10.053000000000001</v>
      </c>
      <c r="AL40" s="25">
        <v>8.5719999999999992</v>
      </c>
      <c r="AM40" s="25">
        <v>10.8</v>
      </c>
      <c r="AN40" s="25">
        <v>0</v>
      </c>
      <c r="AO40" s="25">
        <v>10.595000000000001</v>
      </c>
      <c r="AP40" s="25">
        <v>15.37</v>
      </c>
      <c r="AQ40" s="25">
        <v>11.55</v>
      </c>
      <c r="AR40" s="25">
        <v>10.595000000000001</v>
      </c>
      <c r="AS40" s="25">
        <v>10.595000000000001</v>
      </c>
      <c r="AT40" s="25">
        <v>10.595000000000001</v>
      </c>
      <c r="AU40" s="25">
        <v>13.491</v>
      </c>
      <c r="AV40" s="25">
        <v>10.595000000000001</v>
      </c>
      <c r="AW40" s="25">
        <v>8.3469999999999995</v>
      </c>
      <c r="AX40" s="25">
        <v>17.463999999999999</v>
      </c>
      <c r="AY40" s="25">
        <v>10.595000000000001</v>
      </c>
      <c r="AZ40" s="25">
        <v>12.054</v>
      </c>
      <c r="BA40" s="25">
        <v>10.595000000000001</v>
      </c>
      <c r="BB40" s="25">
        <v>9.7669999999999995</v>
      </c>
      <c r="BC40" s="25">
        <v>10.595000000000001</v>
      </c>
      <c r="BD40" s="25">
        <v>11.478</v>
      </c>
      <c r="BE40" s="25">
        <v>10.595000000000001</v>
      </c>
      <c r="BF40" s="25">
        <v>39.901000000000003</v>
      </c>
      <c r="BG40" s="25">
        <v>10.595000000000001</v>
      </c>
      <c r="BH40" s="25">
        <v>10.595000000000001</v>
      </c>
      <c r="BI40" s="25">
        <v>24.238</v>
      </c>
      <c r="BJ40" s="25">
        <v>10.595000000000001</v>
      </c>
      <c r="BK40" s="25">
        <v>10.595000000000001</v>
      </c>
      <c r="BL40" s="25">
        <v>10.595000000000001</v>
      </c>
      <c r="BM40" s="25">
        <v>10.595000000000001</v>
      </c>
      <c r="BN40" s="25">
        <v>10.595000000000001</v>
      </c>
      <c r="BO40" s="25">
        <v>10.595000000000001</v>
      </c>
      <c r="BP40" s="25">
        <v>4.9189999999999996</v>
      </c>
      <c r="BQ40" s="25">
        <v>10.356999999999999</v>
      </c>
      <c r="BR40" s="25">
        <v>10.595000000000001</v>
      </c>
      <c r="BS40" s="25">
        <v>10.595000000000001</v>
      </c>
      <c r="BT40" s="25">
        <v>10.595000000000001</v>
      </c>
      <c r="BU40" s="25">
        <v>8.298</v>
      </c>
      <c r="BV40" s="25">
        <v>10.595000000000001</v>
      </c>
      <c r="BW40" s="25">
        <v>10.595000000000001</v>
      </c>
      <c r="BX40" s="25">
        <v>9.4610000000000003</v>
      </c>
      <c r="BY40" s="25">
        <v>10.766999999999999</v>
      </c>
      <c r="BZ40" s="25">
        <v>10.385999999999999</v>
      </c>
      <c r="CA40" s="25">
        <v>10.595000000000001</v>
      </c>
      <c r="CB40" s="25">
        <v>10.595000000000001</v>
      </c>
      <c r="CC40" s="25">
        <v>16.079000000000001</v>
      </c>
      <c r="CD40" s="25">
        <v>16.984000000000002</v>
      </c>
      <c r="CE40" s="25">
        <v>10.595000000000001</v>
      </c>
      <c r="CF40" s="25">
        <v>20.108000000000001</v>
      </c>
      <c r="CG40" s="25">
        <v>28.167999999999999</v>
      </c>
      <c r="CH40" s="25">
        <v>10.595000000000001</v>
      </c>
      <c r="CI40" s="25">
        <v>10.595000000000001</v>
      </c>
      <c r="CJ40" s="25">
        <v>10.595000000000001</v>
      </c>
      <c r="CK40" s="25">
        <v>10.595000000000001</v>
      </c>
      <c r="CL40" s="25">
        <v>10.595000000000001</v>
      </c>
      <c r="CM40" s="25">
        <v>10.595000000000001</v>
      </c>
      <c r="CN40" s="25">
        <v>10.595000000000001</v>
      </c>
      <c r="CO40" s="25">
        <v>10.595000000000001</v>
      </c>
      <c r="CP40" s="25">
        <v>10.595000000000001</v>
      </c>
      <c r="CQ40" s="25">
        <v>10.595000000000001</v>
      </c>
      <c r="CR40" s="25">
        <v>10.595000000000001</v>
      </c>
      <c r="CS40" s="25">
        <v>42.936999999999998</v>
      </c>
      <c r="CT40" s="25">
        <v>10.595000000000001</v>
      </c>
      <c r="CU40" s="25">
        <v>10.595000000000001</v>
      </c>
      <c r="CV40" s="25">
        <v>9.6129999999999995</v>
      </c>
      <c r="CW40" s="25">
        <v>10.595000000000001</v>
      </c>
      <c r="CX40" s="25">
        <v>10.595000000000001</v>
      </c>
      <c r="CY40" s="25">
        <v>10.595000000000001</v>
      </c>
      <c r="CZ40" s="25">
        <v>6.8529999999999998</v>
      </c>
      <c r="DA40" s="25">
        <v>9.1760000000000002</v>
      </c>
      <c r="DB40" s="25">
        <v>20.587</v>
      </c>
      <c r="DC40" s="25">
        <v>19.920000000000002</v>
      </c>
      <c r="DD40" s="25">
        <v>11.925000000000001</v>
      </c>
      <c r="DE40" s="25">
        <v>21.359000000000002</v>
      </c>
      <c r="DF40" s="25">
        <v>10.595000000000001</v>
      </c>
      <c r="DG40" s="25">
        <v>12.285</v>
      </c>
      <c r="DH40" s="25">
        <v>37.822000000000003</v>
      </c>
      <c r="DI40" s="25">
        <v>10.595000000000001</v>
      </c>
      <c r="DJ40" s="25">
        <v>10.595000000000001</v>
      </c>
      <c r="DK40" s="25">
        <v>8.81</v>
      </c>
      <c r="DL40" s="25">
        <v>10.595000000000001</v>
      </c>
      <c r="DM40" s="25">
        <v>21.359000000000002</v>
      </c>
      <c r="DN40" s="25">
        <v>10.595000000000001</v>
      </c>
      <c r="DO40" s="25">
        <v>10.595000000000001</v>
      </c>
      <c r="DP40" s="25">
        <v>10.595000000000001</v>
      </c>
      <c r="DQ40" s="25">
        <v>10.595000000000001</v>
      </c>
      <c r="DR40" s="25">
        <v>10.595000000000001</v>
      </c>
      <c r="DS40" s="25">
        <v>10.595000000000001</v>
      </c>
      <c r="DT40" s="25">
        <v>10.595000000000001</v>
      </c>
      <c r="DU40" s="25">
        <v>10.552</v>
      </c>
      <c r="DV40" s="25">
        <v>10.595000000000001</v>
      </c>
      <c r="DW40" s="25">
        <v>12.914999999999999</v>
      </c>
      <c r="DX40" s="25">
        <v>3.6040000000000001</v>
      </c>
      <c r="DY40" s="25">
        <v>10.595000000000001</v>
      </c>
      <c r="DZ40" s="25">
        <v>3.9729999999999999</v>
      </c>
      <c r="EA40" s="25">
        <v>10.595000000000001</v>
      </c>
      <c r="EB40" s="25">
        <v>12.256</v>
      </c>
      <c r="EC40" s="25">
        <v>10.595000000000001</v>
      </c>
      <c r="ED40" s="25">
        <v>10.595000000000001</v>
      </c>
      <c r="EE40" s="25">
        <v>10.595000000000001</v>
      </c>
      <c r="EF40" s="25">
        <v>10.595000000000001</v>
      </c>
      <c r="EG40" s="25">
        <v>13.098000000000001</v>
      </c>
      <c r="EH40" s="25">
        <v>15.561</v>
      </c>
      <c r="EI40" s="25">
        <v>10.595000000000001</v>
      </c>
      <c r="EJ40" s="25">
        <v>8.5719999999999992</v>
      </c>
      <c r="EK40" s="25">
        <v>10.595000000000001</v>
      </c>
      <c r="EL40" s="25">
        <v>10.595000000000001</v>
      </c>
      <c r="EM40" s="25">
        <v>8.0449999999999999</v>
      </c>
      <c r="EN40" s="25">
        <v>10.595000000000001</v>
      </c>
      <c r="EO40" s="25">
        <v>5.7990000000000004</v>
      </c>
      <c r="EP40" s="25">
        <v>10.595000000000001</v>
      </c>
      <c r="EQ40" s="25">
        <v>10.595000000000001</v>
      </c>
      <c r="ER40" s="25">
        <v>45.936</v>
      </c>
      <c r="ES40" s="25">
        <v>10.422000000000001</v>
      </c>
      <c r="ET40" s="25">
        <v>10.595000000000001</v>
      </c>
      <c r="EU40" s="25">
        <v>10.595000000000001</v>
      </c>
      <c r="EV40" s="25">
        <v>10.595000000000001</v>
      </c>
      <c r="EW40" s="25"/>
    </row>
    <row r="41" spans="1:153" ht="17.25" customHeight="1" x14ac:dyDescent="0.25">
      <c r="A41" s="25" t="s">
        <v>158</v>
      </c>
      <c r="B41" s="25">
        <v>5.6050000000000004</v>
      </c>
      <c r="C41" s="25">
        <v>4.3540000000000001</v>
      </c>
      <c r="D41" s="25">
        <v>3.742</v>
      </c>
      <c r="E41" s="25">
        <v>2.355</v>
      </c>
      <c r="F41" s="25">
        <v>2.4649999999999999</v>
      </c>
      <c r="G41" s="25">
        <v>0.46</v>
      </c>
      <c r="H41" s="25">
        <v>0.29399999999999998</v>
      </c>
      <c r="I41" s="25">
        <v>1.5660000000000001</v>
      </c>
      <c r="J41" s="25">
        <v>1.8340000000000001</v>
      </c>
      <c r="K41" s="25">
        <v>2.8119999999999998</v>
      </c>
      <c r="L41" s="25">
        <v>3.7679999999999998</v>
      </c>
      <c r="M41" s="25">
        <v>3.718</v>
      </c>
      <c r="N41" s="25">
        <v>2.35</v>
      </c>
      <c r="O41" s="25">
        <v>0</v>
      </c>
      <c r="P41" s="25">
        <v>1.327</v>
      </c>
      <c r="Q41" s="25">
        <v>2.1219999999999999</v>
      </c>
      <c r="R41" s="25">
        <v>2.98</v>
      </c>
      <c r="S41" s="25">
        <v>4.2060000000000004</v>
      </c>
      <c r="T41" s="25">
        <v>4.4690000000000003</v>
      </c>
      <c r="U41" s="25">
        <v>6.7939999999999996</v>
      </c>
      <c r="V41" s="25">
        <v>5.9569999999999999</v>
      </c>
      <c r="W41" s="25">
        <v>5.23</v>
      </c>
      <c r="X41" s="25">
        <v>9.8219999999999992</v>
      </c>
      <c r="Y41" s="25">
        <v>10.385999999999999</v>
      </c>
      <c r="Z41" s="25">
        <v>11.862</v>
      </c>
      <c r="AA41" s="25">
        <v>16.582000000000001</v>
      </c>
      <c r="AB41" s="25">
        <v>18.317</v>
      </c>
      <c r="AC41" s="25">
        <v>25.2</v>
      </c>
      <c r="AD41" s="25">
        <v>9.5760000000000005</v>
      </c>
      <c r="AE41" s="25">
        <v>7.3620000000000001</v>
      </c>
      <c r="AF41" s="25">
        <v>6.1390000000000002</v>
      </c>
      <c r="AG41" s="25">
        <v>5.2320000000000002</v>
      </c>
      <c r="AH41" s="25">
        <v>4.3540000000000001</v>
      </c>
      <c r="AI41" s="25">
        <v>0</v>
      </c>
      <c r="AJ41" s="25">
        <v>0.29399999999999998</v>
      </c>
      <c r="AK41" s="25">
        <v>1.5660000000000001</v>
      </c>
      <c r="AL41" s="25">
        <v>2.1219999999999999</v>
      </c>
      <c r="AM41" s="25">
        <v>4.97</v>
      </c>
      <c r="AN41" s="25">
        <v>11.773999999999999</v>
      </c>
      <c r="AO41" s="25">
        <v>0</v>
      </c>
      <c r="AP41" s="25">
        <v>7.8979999999999997</v>
      </c>
      <c r="AQ41" s="25">
        <v>4.8360000000000003</v>
      </c>
      <c r="AR41" s="25">
        <v>0</v>
      </c>
      <c r="AS41" s="25">
        <v>0</v>
      </c>
      <c r="AT41" s="25">
        <v>0</v>
      </c>
      <c r="AU41" s="25">
        <v>4.3250000000000002</v>
      </c>
      <c r="AV41" s="25">
        <v>0</v>
      </c>
      <c r="AW41" s="25">
        <v>3.9079999999999999</v>
      </c>
      <c r="AX41" s="25">
        <v>6.532</v>
      </c>
      <c r="AY41" s="25">
        <v>0</v>
      </c>
      <c r="AZ41" s="25">
        <v>1.899</v>
      </c>
      <c r="BA41" s="25">
        <v>0</v>
      </c>
      <c r="BB41" s="25">
        <v>1.3979999999999999</v>
      </c>
      <c r="BC41" s="25">
        <v>0</v>
      </c>
      <c r="BD41" s="25">
        <v>1.323</v>
      </c>
      <c r="BE41" s="25">
        <v>0</v>
      </c>
      <c r="BF41" s="25">
        <v>38.332000000000001</v>
      </c>
      <c r="BG41" s="25">
        <v>0</v>
      </c>
      <c r="BH41" s="25">
        <v>0</v>
      </c>
      <c r="BI41" s="25">
        <v>26.510999999999999</v>
      </c>
      <c r="BJ41" s="25">
        <v>0</v>
      </c>
      <c r="BK41" s="25">
        <v>0</v>
      </c>
      <c r="BL41" s="25">
        <v>0</v>
      </c>
      <c r="BM41" s="25">
        <v>0</v>
      </c>
      <c r="BN41" s="25">
        <v>0</v>
      </c>
      <c r="BO41" s="25">
        <v>0</v>
      </c>
      <c r="BP41" s="25">
        <v>6.7750000000000004</v>
      </c>
      <c r="BQ41" s="25">
        <v>2.7160000000000002</v>
      </c>
      <c r="BR41" s="25">
        <v>0</v>
      </c>
      <c r="BS41" s="25">
        <v>0</v>
      </c>
      <c r="BT41" s="25">
        <v>0</v>
      </c>
      <c r="BU41" s="25">
        <v>8.5730000000000004</v>
      </c>
      <c r="BV41" s="25">
        <v>0</v>
      </c>
      <c r="BW41" s="25">
        <v>0</v>
      </c>
      <c r="BX41" s="25">
        <v>4.8630000000000004</v>
      </c>
      <c r="BY41" s="25">
        <v>1.661</v>
      </c>
      <c r="BZ41" s="25">
        <v>2.48</v>
      </c>
      <c r="CA41" s="25">
        <v>0</v>
      </c>
      <c r="CB41" s="25">
        <v>0</v>
      </c>
      <c r="CC41" s="25">
        <v>8.5419999999999998</v>
      </c>
      <c r="CD41" s="25">
        <v>10.385999999999999</v>
      </c>
      <c r="CE41" s="25">
        <v>0</v>
      </c>
      <c r="CF41" s="25">
        <v>18.539000000000001</v>
      </c>
      <c r="CG41" s="25">
        <v>26.599</v>
      </c>
      <c r="CH41" s="25">
        <v>0</v>
      </c>
      <c r="CI41" s="25">
        <v>0</v>
      </c>
      <c r="CJ41" s="25">
        <v>0</v>
      </c>
      <c r="CK41" s="25">
        <v>0</v>
      </c>
      <c r="CL41" s="25">
        <v>0</v>
      </c>
      <c r="CM41" s="25">
        <v>0</v>
      </c>
      <c r="CN41" s="25">
        <v>0</v>
      </c>
      <c r="CO41" s="25">
        <v>0</v>
      </c>
      <c r="CP41" s="25">
        <v>0</v>
      </c>
      <c r="CQ41" s="25">
        <v>0</v>
      </c>
      <c r="CR41" s="25">
        <v>0</v>
      </c>
      <c r="CS41" s="25">
        <v>45.210999999999999</v>
      </c>
      <c r="CT41" s="25">
        <v>0</v>
      </c>
      <c r="CU41" s="25">
        <v>0</v>
      </c>
      <c r="CV41" s="25">
        <v>3.0449999999999999</v>
      </c>
      <c r="CW41" s="25">
        <v>0</v>
      </c>
      <c r="CX41" s="25">
        <v>0</v>
      </c>
      <c r="CY41" s="25">
        <v>0</v>
      </c>
      <c r="CZ41" s="25">
        <v>7.8540000000000001</v>
      </c>
      <c r="DA41" s="25">
        <v>2.0979999999999999</v>
      </c>
      <c r="DB41" s="25">
        <v>13.99</v>
      </c>
      <c r="DC41" s="25">
        <v>13.323</v>
      </c>
      <c r="DD41" s="25">
        <v>3.762</v>
      </c>
      <c r="DE41" s="25">
        <v>16.651</v>
      </c>
      <c r="DF41" s="25">
        <v>0</v>
      </c>
      <c r="DG41" s="25">
        <v>7.407</v>
      </c>
      <c r="DH41" s="25">
        <v>36.253</v>
      </c>
      <c r="DI41" s="25">
        <v>0</v>
      </c>
      <c r="DJ41" s="25">
        <v>0</v>
      </c>
      <c r="DK41" s="25">
        <v>2.4380000000000002</v>
      </c>
      <c r="DL41" s="25">
        <v>0</v>
      </c>
      <c r="DM41" s="25">
        <v>16.651</v>
      </c>
      <c r="DN41" s="25">
        <v>0</v>
      </c>
      <c r="DO41" s="25">
        <v>0</v>
      </c>
      <c r="DP41" s="25">
        <v>0</v>
      </c>
      <c r="DQ41" s="25">
        <v>0</v>
      </c>
      <c r="DR41" s="25">
        <v>0</v>
      </c>
      <c r="DS41" s="25">
        <v>0</v>
      </c>
      <c r="DT41" s="25">
        <v>0</v>
      </c>
      <c r="DU41" s="25">
        <v>5.5010000000000003</v>
      </c>
      <c r="DV41" s="25">
        <v>0</v>
      </c>
      <c r="DW41" s="25">
        <v>8.3460000000000001</v>
      </c>
      <c r="DX41" s="25">
        <v>14.747999999999999</v>
      </c>
      <c r="DY41" s="25">
        <v>0</v>
      </c>
      <c r="DZ41" s="25">
        <v>15.013</v>
      </c>
      <c r="EA41" s="25">
        <v>0</v>
      </c>
      <c r="EB41" s="25">
        <v>7.3780000000000001</v>
      </c>
      <c r="EC41" s="25">
        <v>0</v>
      </c>
      <c r="ED41" s="25">
        <v>0</v>
      </c>
      <c r="EE41" s="25">
        <v>0</v>
      </c>
      <c r="EF41" s="25">
        <v>0</v>
      </c>
      <c r="EG41" s="25">
        <v>6.6349999999999998</v>
      </c>
      <c r="EH41" s="25">
        <v>7.3650000000000002</v>
      </c>
      <c r="EI41" s="25">
        <v>0</v>
      </c>
      <c r="EJ41" s="25">
        <v>2.1219999999999999</v>
      </c>
      <c r="EK41" s="25">
        <v>0</v>
      </c>
      <c r="EL41" s="25">
        <v>0</v>
      </c>
      <c r="EM41" s="25">
        <v>5.1740000000000004</v>
      </c>
      <c r="EN41" s="25">
        <v>0</v>
      </c>
      <c r="EO41" s="25">
        <v>5.2930000000000001</v>
      </c>
      <c r="EP41" s="25">
        <v>0</v>
      </c>
      <c r="EQ41" s="25">
        <v>0</v>
      </c>
      <c r="ER41" s="25">
        <v>44.366999999999997</v>
      </c>
      <c r="ES41" s="25">
        <v>10.365</v>
      </c>
      <c r="ET41" s="25">
        <v>0</v>
      </c>
      <c r="EU41" s="25">
        <v>0</v>
      </c>
      <c r="EV41" s="25">
        <v>0</v>
      </c>
      <c r="EW41" s="25"/>
    </row>
    <row r="42" spans="1:153" ht="17.25" customHeight="1" x14ac:dyDescent="0.25">
      <c r="A42" s="25" t="s">
        <v>159</v>
      </c>
      <c r="B42" s="25">
        <v>1.6839999999999999</v>
      </c>
      <c r="C42" s="25">
        <v>2.7240000000000002</v>
      </c>
      <c r="D42" s="25">
        <v>3.6269999999999998</v>
      </c>
      <c r="E42" s="25">
        <v>6.1749999999999998</v>
      </c>
      <c r="F42" s="25">
        <v>6.4660000000000002</v>
      </c>
      <c r="G42" s="25">
        <v>7.4269999999999996</v>
      </c>
      <c r="H42" s="25">
        <v>7.8209999999999997</v>
      </c>
      <c r="I42" s="25">
        <v>8.8490000000000002</v>
      </c>
      <c r="J42" s="25">
        <v>9.1059999999999999</v>
      </c>
      <c r="K42" s="25">
        <v>18.47</v>
      </c>
      <c r="L42" s="25">
        <v>17.704999999999998</v>
      </c>
      <c r="M42" s="25">
        <v>8.2509999999999994</v>
      </c>
      <c r="N42" s="25">
        <v>8.1890000000000001</v>
      </c>
      <c r="O42" s="25">
        <v>7.5430000000000001</v>
      </c>
      <c r="P42" s="25">
        <v>12.565</v>
      </c>
      <c r="Q42" s="25">
        <v>11.782999999999999</v>
      </c>
      <c r="R42" s="25">
        <v>10.746</v>
      </c>
      <c r="S42" s="25">
        <v>9.9930000000000003</v>
      </c>
      <c r="T42" s="25">
        <v>10.499000000000001</v>
      </c>
      <c r="U42" s="25">
        <v>12.404</v>
      </c>
      <c r="V42" s="25">
        <v>11.987</v>
      </c>
      <c r="W42" s="25">
        <v>11.26</v>
      </c>
      <c r="X42" s="25">
        <v>19.678000000000001</v>
      </c>
      <c r="Y42" s="25">
        <v>3.1339999999999999</v>
      </c>
      <c r="Z42" s="25">
        <v>4.609</v>
      </c>
      <c r="AA42" s="25">
        <v>6.9249999999999998</v>
      </c>
      <c r="AB42" s="25">
        <v>8.66</v>
      </c>
      <c r="AC42" s="25">
        <v>13.569000000000001</v>
      </c>
      <c r="AD42" s="25">
        <v>19.431999999999999</v>
      </c>
      <c r="AE42" s="25">
        <v>3.0760000000000001</v>
      </c>
      <c r="AF42" s="25">
        <v>16.012</v>
      </c>
      <c r="AG42" s="25">
        <v>16.300999999999998</v>
      </c>
      <c r="AH42" s="25">
        <v>2.7240000000000002</v>
      </c>
      <c r="AI42" s="25">
        <v>7.5430000000000001</v>
      </c>
      <c r="AJ42" s="25">
        <v>7.8209999999999997</v>
      </c>
      <c r="AK42" s="25">
        <v>8.8490000000000002</v>
      </c>
      <c r="AL42" s="25">
        <v>11.782999999999999</v>
      </c>
      <c r="AM42" s="25">
        <v>16.103999999999999</v>
      </c>
      <c r="AN42" s="25">
        <v>15.981</v>
      </c>
      <c r="AO42" s="25">
        <v>7.5430000000000001</v>
      </c>
      <c r="AP42" s="25">
        <v>0</v>
      </c>
      <c r="AQ42" s="25">
        <v>3.4279999999999999</v>
      </c>
      <c r="AR42" s="25">
        <v>7.5430000000000001</v>
      </c>
      <c r="AS42" s="25">
        <v>7.5430000000000001</v>
      </c>
      <c r="AT42" s="25">
        <v>7.5430000000000001</v>
      </c>
      <c r="AU42" s="25">
        <v>4.2969999999999997</v>
      </c>
      <c r="AV42" s="25">
        <v>7.5430000000000001</v>
      </c>
      <c r="AW42" s="25">
        <v>10.201000000000001</v>
      </c>
      <c r="AX42" s="25">
        <v>11.031000000000001</v>
      </c>
      <c r="AY42" s="25">
        <v>7.5430000000000001</v>
      </c>
      <c r="AZ42" s="25">
        <v>8.6329999999999991</v>
      </c>
      <c r="BA42" s="25">
        <v>7.5430000000000001</v>
      </c>
      <c r="BB42" s="25">
        <v>8.4149999999999991</v>
      </c>
      <c r="BC42" s="25">
        <v>7.5430000000000001</v>
      </c>
      <c r="BD42" s="25">
        <v>8.0570000000000004</v>
      </c>
      <c r="BE42" s="25">
        <v>7.5430000000000001</v>
      </c>
      <c r="BF42" s="25">
        <v>33.299999999999997</v>
      </c>
      <c r="BG42" s="25">
        <v>7.5430000000000001</v>
      </c>
      <c r="BH42" s="25">
        <v>7.5430000000000001</v>
      </c>
      <c r="BI42" s="25">
        <v>21.692</v>
      </c>
      <c r="BJ42" s="25">
        <v>7.5430000000000001</v>
      </c>
      <c r="BK42" s="25">
        <v>7.5430000000000001</v>
      </c>
      <c r="BL42" s="25">
        <v>7.5430000000000001</v>
      </c>
      <c r="BM42" s="25">
        <v>7.5430000000000001</v>
      </c>
      <c r="BN42" s="25">
        <v>7.5430000000000001</v>
      </c>
      <c r="BO42" s="25">
        <v>7.5430000000000001</v>
      </c>
      <c r="BP42" s="25">
        <v>11.975</v>
      </c>
      <c r="BQ42" s="25">
        <v>6.5389999999999997</v>
      </c>
      <c r="BR42" s="25">
        <v>7.5430000000000001</v>
      </c>
      <c r="BS42" s="25">
        <v>7.5430000000000001</v>
      </c>
      <c r="BT42" s="25">
        <v>7.5430000000000001</v>
      </c>
      <c r="BU42" s="25">
        <v>13.798</v>
      </c>
      <c r="BV42" s="25">
        <v>7.5430000000000001</v>
      </c>
      <c r="BW42" s="25">
        <v>7.5430000000000001</v>
      </c>
      <c r="BX42" s="25">
        <v>14.324999999999999</v>
      </c>
      <c r="BY42" s="25">
        <v>6.24</v>
      </c>
      <c r="BZ42" s="25">
        <v>6.3040000000000003</v>
      </c>
      <c r="CA42" s="25">
        <v>7.5430000000000001</v>
      </c>
      <c r="CB42" s="25">
        <v>7.5430000000000001</v>
      </c>
      <c r="CC42" s="25">
        <v>1.8009999999999999</v>
      </c>
      <c r="CD42" s="25">
        <v>3.1339999999999999</v>
      </c>
      <c r="CE42" s="25">
        <v>7.5430000000000001</v>
      </c>
      <c r="CF42" s="25">
        <v>10.567</v>
      </c>
      <c r="CG42" s="25">
        <v>21.565999999999999</v>
      </c>
      <c r="CH42" s="25">
        <v>7.5430000000000001</v>
      </c>
      <c r="CI42" s="25">
        <v>7.5430000000000001</v>
      </c>
      <c r="CJ42" s="25">
        <v>7.5430000000000001</v>
      </c>
      <c r="CK42" s="25">
        <v>7.5430000000000001</v>
      </c>
      <c r="CL42" s="25">
        <v>7.5430000000000001</v>
      </c>
      <c r="CM42" s="25">
        <v>7.5430000000000001</v>
      </c>
      <c r="CN42" s="25">
        <v>7.5430000000000001</v>
      </c>
      <c r="CO42" s="25">
        <v>7.5430000000000001</v>
      </c>
      <c r="CP42" s="25">
        <v>7.5430000000000001</v>
      </c>
      <c r="CQ42" s="25">
        <v>7.5430000000000001</v>
      </c>
      <c r="CR42" s="25">
        <v>7.5430000000000001</v>
      </c>
      <c r="CS42" s="25">
        <v>40.390999999999998</v>
      </c>
      <c r="CT42" s="25">
        <v>7.5430000000000001</v>
      </c>
      <c r="CU42" s="25">
        <v>7.5430000000000001</v>
      </c>
      <c r="CV42" s="25">
        <v>12.904</v>
      </c>
      <c r="CW42" s="25">
        <v>7.5430000000000001</v>
      </c>
      <c r="CX42" s="25">
        <v>7.5430000000000001</v>
      </c>
      <c r="CY42" s="25">
        <v>7.5430000000000001</v>
      </c>
      <c r="CZ42" s="25">
        <v>13.079000000000001</v>
      </c>
      <c r="DA42" s="25">
        <v>8.0630000000000006</v>
      </c>
      <c r="DB42" s="25">
        <v>6.7370000000000001</v>
      </c>
      <c r="DC42" s="25">
        <v>6.07</v>
      </c>
      <c r="DD42" s="25">
        <v>4.6219999999999999</v>
      </c>
      <c r="DE42" s="25">
        <v>26.332000000000001</v>
      </c>
      <c r="DF42" s="25">
        <v>7.5430000000000001</v>
      </c>
      <c r="DG42" s="25">
        <v>3.9279999999999999</v>
      </c>
      <c r="DH42" s="25">
        <v>31.221</v>
      </c>
      <c r="DI42" s="25">
        <v>7.5430000000000001</v>
      </c>
      <c r="DJ42" s="25">
        <v>7.5430000000000001</v>
      </c>
      <c r="DK42" s="25">
        <v>11.936999999999999</v>
      </c>
      <c r="DL42" s="25">
        <v>7.5430000000000001</v>
      </c>
      <c r="DM42" s="25">
        <v>26.332000000000001</v>
      </c>
      <c r="DN42" s="25">
        <v>7.5430000000000001</v>
      </c>
      <c r="DO42" s="25">
        <v>7.5430000000000001</v>
      </c>
      <c r="DP42" s="25">
        <v>7.5430000000000001</v>
      </c>
      <c r="DQ42" s="25">
        <v>7.5430000000000001</v>
      </c>
      <c r="DR42" s="25">
        <v>7.5430000000000001</v>
      </c>
      <c r="DS42" s="25">
        <v>7.5430000000000001</v>
      </c>
      <c r="DT42" s="25">
        <v>7.5430000000000001</v>
      </c>
      <c r="DU42" s="25">
        <v>4.2439999999999998</v>
      </c>
      <c r="DV42" s="25">
        <v>7.5430000000000001</v>
      </c>
      <c r="DW42" s="25">
        <v>18.202000000000002</v>
      </c>
      <c r="DX42" s="25">
        <v>20.765000000000001</v>
      </c>
      <c r="DY42" s="25">
        <v>7.5430000000000001</v>
      </c>
      <c r="DZ42" s="25">
        <v>21.03</v>
      </c>
      <c r="EA42" s="25">
        <v>7.5430000000000001</v>
      </c>
      <c r="EB42" s="25">
        <v>3.899</v>
      </c>
      <c r="EC42" s="25">
        <v>7.5430000000000001</v>
      </c>
      <c r="ED42" s="25">
        <v>7.5430000000000001</v>
      </c>
      <c r="EE42" s="25">
        <v>7.5430000000000001</v>
      </c>
      <c r="EF42" s="25">
        <v>7.5430000000000001</v>
      </c>
      <c r="EG42" s="25">
        <v>3.8889999999999998</v>
      </c>
      <c r="EH42" s="25">
        <v>21.17</v>
      </c>
      <c r="EI42" s="25">
        <v>7.5430000000000001</v>
      </c>
      <c r="EJ42" s="25">
        <v>11.782999999999999</v>
      </c>
      <c r="EK42" s="25">
        <v>7.5430000000000001</v>
      </c>
      <c r="EL42" s="25">
        <v>7.5430000000000001</v>
      </c>
      <c r="EM42" s="25">
        <v>11.204000000000001</v>
      </c>
      <c r="EN42" s="25">
        <v>7.5430000000000001</v>
      </c>
      <c r="EO42" s="25">
        <v>10.516999999999999</v>
      </c>
      <c r="EP42" s="25">
        <v>7.5430000000000001</v>
      </c>
      <c r="EQ42" s="25">
        <v>7.5430000000000001</v>
      </c>
      <c r="ER42" s="25">
        <v>39.335000000000001</v>
      </c>
      <c r="ES42" s="25">
        <v>20.221</v>
      </c>
      <c r="ET42" s="25">
        <v>7.5430000000000001</v>
      </c>
      <c r="EU42" s="25">
        <v>7.5430000000000001</v>
      </c>
      <c r="EV42" s="25">
        <v>7.5430000000000001</v>
      </c>
      <c r="EW42" s="25"/>
    </row>
    <row r="43" spans="1:153" ht="17.25" customHeight="1" x14ac:dyDescent="0.25">
      <c r="A43" s="25" t="s">
        <v>160</v>
      </c>
      <c r="B43" s="25">
        <v>1.994</v>
      </c>
      <c r="C43" s="25">
        <v>0.74199999999999999</v>
      </c>
      <c r="D43" s="25">
        <v>1.4870000000000001</v>
      </c>
      <c r="E43" s="25">
        <v>2.6739999999999999</v>
      </c>
      <c r="F43" s="25">
        <v>3.3679999999999999</v>
      </c>
      <c r="G43" s="25">
        <v>4.4000000000000004</v>
      </c>
      <c r="H43" s="25">
        <v>5.1539999999999999</v>
      </c>
      <c r="I43" s="25">
        <v>6.4260000000000002</v>
      </c>
      <c r="J43" s="25">
        <v>6.694</v>
      </c>
      <c r="K43" s="25">
        <v>7.7539999999999996</v>
      </c>
      <c r="L43" s="25">
        <v>8.6280000000000001</v>
      </c>
      <c r="M43" s="25">
        <v>7.5830000000000002</v>
      </c>
      <c r="N43" s="25">
        <v>6.5919999999999996</v>
      </c>
      <c r="O43" s="25">
        <v>4.8600000000000003</v>
      </c>
      <c r="P43" s="25">
        <v>4.681</v>
      </c>
      <c r="Q43" s="25">
        <v>4.6230000000000002</v>
      </c>
      <c r="R43" s="25">
        <v>5.63</v>
      </c>
      <c r="S43" s="25">
        <v>8.91</v>
      </c>
      <c r="T43" s="25">
        <v>9.4160000000000004</v>
      </c>
      <c r="U43" s="25">
        <v>11.321</v>
      </c>
      <c r="V43" s="25">
        <v>10.904</v>
      </c>
      <c r="W43" s="25">
        <v>10.177</v>
      </c>
      <c r="X43" s="25">
        <v>18.594999999999999</v>
      </c>
      <c r="Y43" s="25">
        <v>5.6379999999999999</v>
      </c>
      <c r="Z43" s="25">
        <v>7.1130000000000004</v>
      </c>
      <c r="AA43" s="25">
        <v>8.1950000000000003</v>
      </c>
      <c r="AB43" s="25">
        <v>9.93</v>
      </c>
      <c r="AC43" s="25">
        <v>19.047000000000001</v>
      </c>
      <c r="AD43" s="25">
        <v>18.349</v>
      </c>
      <c r="AE43" s="25">
        <v>3.1640000000000001</v>
      </c>
      <c r="AF43" s="25">
        <v>14.929</v>
      </c>
      <c r="AG43" s="25">
        <v>15.218</v>
      </c>
      <c r="AH43" s="25">
        <v>0.74199999999999999</v>
      </c>
      <c r="AI43" s="25">
        <v>4.8600000000000003</v>
      </c>
      <c r="AJ43" s="25">
        <v>5.1539999999999999</v>
      </c>
      <c r="AK43" s="25">
        <v>6.4260000000000002</v>
      </c>
      <c r="AL43" s="25">
        <v>4.6230000000000002</v>
      </c>
      <c r="AM43" s="25">
        <v>15.021000000000001</v>
      </c>
      <c r="AN43" s="25">
        <v>11.551</v>
      </c>
      <c r="AO43" s="25">
        <v>4.8600000000000003</v>
      </c>
      <c r="AP43" s="25">
        <v>3.3029999999999999</v>
      </c>
      <c r="AQ43" s="25">
        <v>0</v>
      </c>
      <c r="AR43" s="25">
        <v>4.8600000000000003</v>
      </c>
      <c r="AS43" s="25">
        <v>4.8600000000000003</v>
      </c>
      <c r="AT43" s="25">
        <v>4.8600000000000003</v>
      </c>
      <c r="AU43" s="25">
        <v>3.5489999999999999</v>
      </c>
      <c r="AV43" s="25">
        <v>4.8600000000000003</v>
      </c>
      <c r="AW43" s="25">
        <v>4.4939999999999998</v>
      </c>
      <c r="AX43" s="25">
        <v>10.363</v>
      </c>
      <c r="AY43" s="25">
        <v>4.8600000000000003</v>
      </c>
      <c r="AZ43" s="25">
        <v>6.7590000000000003</v>
      </c>
      <c r="BA43" s="25">
        <v>4.8600000000000003</v>
      </c>
      <c r="BB43" s="25">
        <v>4.7830000000000004</v>
      </c>
      <c r="BC43" s="25">
        <v>4.8600000000000003</v>
      </c>
      <c r="BD43" s="25">
        <v>6.1829999999999998</v>
      </c>
      <c r="BE43" s="25">
        <v>4.8600000000000003</v>
      </c>
      <c r="BF43" s="25">
        <v>32.18</v>
      </c>
      <c r="BG43" s="25">
        <v>4.8600000000000003</v>
      </c>
      <c r="BH43" s="25">
        <v>4.8600000000000003</v>
      </c>
      <c r="BI43" s="25">
        <v>20.609000000000002</v>
      </c>
      <c r="BJ43" s="25">
        <v>4.8600000000000003</v>
      </c>
      <c r="BK43" s="25">
        <v>4.8600000000000003</v>
      </c>
      <c r="BL43" s="25">
        <v>4.8600000000000003</v>
      </c>
      <c r="BM43" s="25">
        <v>4.8600000000000003</v>
      </c>
      <c r="BN43" s="25">
        <v>4.8600000000000003</v>
      </c>
      <c r="BO43" s="25">
        <v>4.8600000000000003</v>
      </c>
      <c r="BP43" s="25">
        <v>10.891999999999999</v>
      </c>
      <c r="BQ43" s="25">
        <v>3.4129999999999998</v>
      </c>
      <c r="BR43" s="25">
        <v>4.8600000000000003</v>
      </c>
      <c r="BS43" s="25">
        <v>4.8600000000000003</v>
      </c>
      <c r="BT43" s="25">
        <v>4.8600000000000003</v>
      </c>
      <c r="BU43" s="25">
        <v>6.4470000000000001</v>
      </c>
      <c r="BV43" s="25">
        <v>4.8600000000000003</v>
      </c>
      <c r="BW43" s="25">
        <v>4.8600000000000003</v>
      </c>
      <c r="BX43" s="25">
        <v>13.242000000000001</v>
      </c>
      <c r="BY43" s="25">
        <v>4.524</v>
      </c>
      <c r="BZ43" s="25">
        <v>2.536</v>
      </c>
      <c r="CA43" s="25">
        <v>4.8600000000000003</v>
      </c>
      <c r="CB43" s="25">
        <v>4.8600000000000003</v>
      </c>
      <c r="CC43" s="25">
        <v>4.7329999999999997</v>
      </c>
      <c r="CD43" s="25">
        <v>5.6379999999999999</v>
      </c>
      <c r="CE43" s="25">
        <v>4.8600000000000003</v>
      </c>
      <c r="CF43" s="25">
        <v>12.385999999999999</v>
      </c>
      <c r="CG43" s="25">
        <v>20.446000000000002</v>
      </c>
      <c r="CH43" s="25">
        <v>4.8600000000000003</v>
      </c>
      <c r="CI43" s="25">
        <v>4.8600000000000003</v>
      </c>
      <c r="CJ43" s="25">
        <v>4.8600000000000003</v>
      </c>
      <c r="CK43" s="25">
        <v>4.8600000000000003</v>
      </c>
      <c r="CL43" s="25">
        <v>4.8600000000000003</v>
      </c>
      <c r="CM43" s="25">
        <v>4.8600000000000003</v>
      </c>
      <c r="CN43" s="25">
        <v>4.8600000000000003</v>
      </c>
      <c r="CO43" s="25">
        <v>4.8600000000000003</v>
      </c>
      <c r="CP43" s="25">
        <v>4.8600000000000003</v>
      </c>
      <c r="CQ43" s="25">
        <v>4.8600000000000003</v>
      </c>
      <c r="CR43" s="25">
        <v>4.8600000000000003</v>
      </c>
      <c r="CS43" s="25">
        <v>39.308</v>
      </c>
      <c r="CT43" s="25">
        <v>4.8600000000000003</v>
      </c>
      <c r="CU43" s="25">
        <v>4.8600000000000003</v>
      </c>
      <c r="CV43" s="25">
        <v>6.5149999999999997</v>
      </c>
      <c r="CW43" s="25">
        <v>4.8600000000000003</v>
      </c>
      <c r="CX43" s="25">
        <v>4.8600000000000003</v>
      </c>
      <c r="CY43" s="25">
        <v>4.8600000000000003</v>
      </c>
      <c r="CZ43" s="25">
        <v>5.7279999999999998</v>
      </c>
      <c r="DA43" s="25">
        <v>3.851</v>
      </c>
      <c r="DB43" s="25">
        <v>9.2409999999999997</v>
      </c>
      <c r="DC43" s="25">
        <v>8.5739999999999998</v>
      </c>
      <c r="DD43" s="25">
        <v>2.198</v>
      </c>
      <c r="DE43" s="25">
        <v>25.248999999999999</v>
      </c>
      <c r="DF43" s="25">
        <v>4.8600000000000003</v>
      </c>
      <c r="DG43" s="25">
        <v>2.82</v>
      </c>
      <c r="DH43" s="25">
        <v>30.100999999999999</v>
      </c>
      <c r="DI43" s="25">
        <v>4.8600000000000003</v>
      </c>
      <c r="DJ43" s="25">
        <v>4.8600000000000003</v>
      </c>
      <c r="DK43" s="25">
        <v>5.2939999999999996</v>
      </c>
      <c r="DL43" s="25">
        <v>4.8600000000000003</v>
      </c>
      <c r="DM43" s="25">
        <v>25.248999999999999</v>
      </c>
      <c r="DN43" s="25">
        <v>4.8600000000000003</v>
      </c>
      <c r="DO43" s="25">
        <v>4.8600000000000003</v>
      </c>
      <c r="DP43" s="25">
        <v>4.8600000000000003</v>
      </c>
      <c r="DQ43" s="25">
        <v>4.8600000000000003</v>
      </c>
      <c r="DR43" s="25">
        <v>4.8600000000000003</v>
      </c>
      <c r="DS43" s="25">
        <v>4.8600000000000003</v>
      </c>
      <c r="DT43" s="25">
        <v>4.8600000000000003</v>
      </c>
      <c r="DU43" s="25">
        <v>0.89500000000000002</v>
      </c>
      <c r="DV43" s="25">
        <v>4.8600000000000003</v>
      </c>
      <c r="DW43" s="25">
        <v>17.119</v>
      </c>
      <c r="DX43" s="25">
        <v>19.681999999999999</v>
      </c>
      <c r="DY43" s="25">
        <v>4.8600000000000003</v>
      </c>
      <c r="DZ43" s="25">
        <v>19.946999999999999</v>
      </c>
      <c r="EA43" s="25">
        <v>4.8600000000000003</v>
      </c>
      <c r="EB43" s="25">
        <v>2.7909999999999999</v>
      </c>
      <c r="EC43" s="25">
        <v>4.8600000000000003</v>
      </c>
      <c r="ED43" s="25">
        <v>4.8600000000000003</v>
      </c>
      <c r="EE43" s="25">
        <v>4.8600000000000003</v>
      </c>
      <c r="EF43" s="25">
        <v>4.8600000000000003</v>
      </c>
      <c r="EG43" s="25">
        <v>2.048</v>
      </c>
      <c r="EH43" s="25">
        <v>12.055</v>
      </c>
      <c r="EI43" s="25">
        <v>4.8600000000000003</v>
      </c>
      <c r="EJ43" s="25">
        <v>4.6230000000000002</v>
      </c>
      <c r="EK43" s="25">
        <v>4.8600000000000003</v>
      </c>
      <c r="EL43" s="25">
        <v>4.8600000000000003</v>
      </c>
      <c r="EM43" s="25">
        <v>10.121</v>
      </c>
      <c r="EN43" s="25">
        <v>4.8600000000000003</v>
      </c>
      <c r="EO43" s="25">
        <v>9.4339999999999993</v>
      </c>
      <c r="EP43" s="25">
        <v>4.8600000000000003</v>
      </c>
      <c r="EQ43" s="25">
        <v>4.8600000000000003</v>
      </c>
      <c r="ER43" s="25">
        <v>38.215000000000003</v>
      </c>
      <c r="ES43" s="25">
        <v>19.138000000000002</v>
      </c>
      <c r="ET43" s="25">
        <v>4.8600000000000003</v>
      </c>
      <c r="EU43" s="25">
        <v>4.8600000000000003</v>
      </c>
      <c r="EV43" s="25">
        <v>4.8600000000000003</v>
      </c>
      <c r="EW43" s="25"/>
    </row>
    <row r="44" spans="1:153" ht="17.25" customHeight="1" x14ac:dyDescent="0.25">
      <c r="A44" s="25" t="s">
        <v>161</v>
      </c>
      <c r="B44" s="25">
        <v>5.6050000000000004</v>
      </c>
      <c r="C44" s="25">
        <v>4.3540000000000001</v>
      </c>
      <c r="D44" s="25">
        <v>3.742</v>
      </c>
      <c r="E44" s="25">
        <v>2.355</v>
      </c>
      <c r="F44" s="25">
        <v>2.4649999999999999</v>
      </c>
      <c r="G44" s="25">
        <v>0.46</v>
      </c>
      <c r="H44" s="25">
        <v>0.29399999999999998</v>
      </c>
      <c r="I44" s="25">
        <v>1.5660000000000001</v>
      </c>
      <c r="J44" s="25">
        <v>1.8340000000000001</v>
      </c>
      <c r="K44" s="25">
        <v>2.8119999999999998</v>
      </c>
      <c r="L44" s="25">
        <v>3.7679999999999998</v>
      </c>
      <c r="M44" s="25">
        <v>3.718</v>
      </c>
      <c r="N44" s="25">
        <v>2.35</v>
      </c>
      <c r="O44" s="25">
        <v>0</v>
      </c>
      <c r="P44" s="25">
        <v>1.327</v>
      </c>
      <c r="Q44" s="25">
        <v>2.1219999999999999</v>
      </c>
      <c r="R44" s="25">
        <v>2.98</v>
      </c>
      <c r="S44" s="25">
        <v>4.2060000000000004</v>
      </c>
      <c r="T44" s="25">
        <v>4.4690000000000003</v>
      </c>
      <c r="U44" s="25">
        <v>6.7939999999999996</v>
      </c>
      <c r="V44" s="25">
        <v>5.9569999999999999</v>
      </c>
      <c r="W44" s="25">
        <v>5.23</v>
      </c>
      <c r="X44" s="25">
        <v>9.8219999999999992</v>
      </c>
      <c r="Y44" s="25">
        <v>10.385999999999999</v>
      </c>
      <c r="Z44" s="25">
        <v>11.862</v>
      </c>
      <c r="AA44" s="25">
        <v>16.582000000000001</v>
      </c>
      <c r="AB44" s="25">
        <v>18.317</v>
      </c>
      <c r="AC44" s="25">
        <v>25.2</v>
      </c>
      <c r="AD44" s="25">
        <v>9.5760000000000005</v>
      </c>
      <c r="AE44" s="25">
        <v>7.3620000000000001</v>
      </c>
      <c r="AF44" s="25">
        <v>6.1390000000000002</v>
      </c>
      <c r="AG44" s="25">
        <v>5.2320000000000002</v>
      </c>
      <c r="AH44" s="25">
        <v>4.3540000000000001</v>
      </c>
      <c r="AI44" s="25">
        <v>0</v>
      </c>
      <c r="AJ44" s="25">
        <v>0.29399999999999998</v>
      </c>
      <c r="AK44" s="25">
        <v>1.5660000000000001</v>
      </c>
      <c r="AL44" s="25">
        <v>2.1219999999999999</v>
      </c>
      <c r="AM44" s="25">
        <v>4.97</v>
      </c>
      <c r="AN44" s="25">
        <v>11.773999999999999</v>
      </c>
      <c r="AO44" s="25">
        <v>0</v>
      </c>
      <c r="AP44" s="25">
        <v>7.8979999999999997</v>
      </c>
      <c r="AQ44" s="25">
        <v>4.8360000000000003</v>
      </c>
      <c r="AR44" s="25">
        <v>0</v>
      </c>
      <c r="AS44" s="25">
        <v>0</v>
      </c>
      <c r="AT44" s="25">
        <v>0</v>
      </c>
      <c r="AU44" s="25">
        <v>4.3250000000000002</v>
      </c>
      <c r="AV44" s="25">
        <v>0</v>
      </c>
      <c r="AW44" s="25">
        <v>3.9079999999999999</v>
      </c>
      <c r="AX44" s="25">
        <v>6.532</v>
      </c>
      <c r="AY44" s="25">
        <v>0</v>
      </c>
      <c r="AZ44" s="25">
        <v>1.899</v>
      </c>
      <c r="BA44" s="25">
        <v>0</v>
      </c>
      <c r="BB44" s="25">
        <v>1.3979999999999999</v>
      </c>
      <c r="BC44" s="25">
        <v>0</v>
      </c>
      <c r="BD44" s="25">
        <v>1.323</v>
      </c>
      <c r="BE44" s="25">
        <v>0</v>
      </c>
      <c r="BF44" s="25">
        <v>38.332000000000001</v>
      </c>
      <c r="BG44" s="25">
        <v>0</v>
      </c>
      <c r="BH44" s="25">
        <v>0</v>
      </c>
      <c r="BI44" s="25">
        <v>26.510999999999999</v>
      </c>
      <c r="BJ44" s="25">
        <v>0</v>
      </c>
      <c r="BK44" s="25">
        <v>0</v>
      </c>
      <c r="BL44" s="25">
        <v>0</v>
      </c>
      <c r="BM44" s="25">
        <v>0</v>
      </c>
      <c r="BN44" s="25">
        <v>0</v>
      </c>
      <c r="BO44" s="25">
        <v>0</v>
      </c>
      <c r="BP44" s="25">
        <v>6.7750000000000004</v>
      </c>
      <c r="BQ44" s="25">
        <v>2.7160000000000002</v>
      </c>
      <c r="BR44" s="25">
        <v>0</v>
      </c>
      <c r="BS44" s="25">
        <v>0</v>
      </c>
      <c r="BT44" s="25">
        <v>0</v>
      </c>
      <c r="BU44" s="25">
        <v>8.5730000000000004</v>
      </c>
      <c r="BV44" s="25">
        <v>0</v>
      </c>
      <c r="BW44" s="25">
        <v>0</v>
      </c>
      <c r="BX44" s="25">
        <v>4.8630000000000004</v>
      </c>
      <c r="BY44" s="25">
        <v>1.661</v>
      </c>
      <c r="BZ44" s="25">
        <v>2.48</v>
      </c>
      <c r="CA44" s="25">
        <v>0</v>
      </c>
      <c r="CB44" s="25">
        <v>0</v>
      </c>
      <c r="CC44" s="25">
        <v>8.5419999999999998</v>
      </c>
      <c r="CD44" s="25">
        <v>10.385999999999999</v>
      </c>
      <c r="CE44" s="25">
        <v>0</v>
      </c>
      <c r="CF44" s="25">
        <v>18.539000000000001</v>
      </c>
      <c r="CG44" s="25">
        <v>26.599</v>
      </c>
      <c r="CH44" s="25">
        <v>0</v>
      </c>
      <c r="CI44" s="25">
        <v>0</v>
      </c>
      <c r="CJ44" s="25">
        <v>0</v>
      </c>
      <c r="CK44" s="25">
        <v>0</v>
      </c>
      <c r="CL44" s="25">
        <v>0</v>
      </c>
      <c r="CM44" s="25">
        <v>0</v>
      </c>
      <c r="CN44" s="25">
        <v>0</v>
      </c>
      <c r="CO44" s="25">
        <v>0</v>
      </c>
      <c r="CP44" s="25">
        <v>0</v>
      </c>
      <c r="CQ44" s="25">
        <v>0</v>
      </c>
      <c r="CR44" s="25">
        <v>0</v>
      </c>
      <c r="CS44" s="25">
        <v>45.210999999999999</v>
      </c>
      <c r="CT44" s="25">
        <v>0</v>
      </c>
      <c r="CU44" s="25">
        <v>0</v>
      </c>
      <c r="CV44" s="25">
        <v>3.0449999999999999</v>
      </c>
      <c r="CW44" s="25">
        <v>0</v>
      </c>
      <c r="CX44" s="25">
        <v>0</v>
      </c>
      <c r="CY44" s="25">
        <v>0</v>
      </c>
      <c r="CZ44" s="25">
        <v>7.8540000000000001</v>
      </c>
      <c r="DA44" s="25">
        <v>2.0979999999999999</v>
      </c>
      <c r="DB44" s="25">
        <v>13.99</v>
      </c>
      <c r="DC44" s="25">
        <v>13.323</v>
      </c>
      <c r="DD44" s="25">
        <v>3.762</v>
      </c>
      <c r="DE44" s="25">
        <v>16.651</v>
      </c>
      <c r="DF44" s="25">
        <v>0</v>
      </c>
      <c r="DG44" s="25">
        <v>7.407</v>
      </c>
      <c r="DH44" s="25">
        <v>36.253</v>
      </c>
      <c r="DI44" s="25">
        <v>0</v>
      </c>
      <c r="DJ44" s="25">
        <v>0</v>
      </c>
      <c r="DK44" s="25">
        <v>2.4380000000000002</v>
      </c>
      <c r="DL44" s="25">
        <v>0</v>
      </c>
      <c r="DM44" s="25">
        <v>16.651</v>
      </c>
      <c r="DN44" s="25">
        <v>0</v>
      </c>
      <c r="DO44" s="25">
        <v>0</v>
      </c>
      <c r="DP44" s="25">
        <v>0</v>
      </c>
      <c r="DQ44" s="25">
        <v>0</v>
      </c>
      <c r="DR44" s="25">
        <v>0</v>
      </c>
      <c r="DS44" s="25">
        <v>0</v>
      </c>
      <c r="DT44" s="25">
        <v>0</v>
      </c>
      <c r="DU44" s="25">
        <v>5.5010000000000003</v>
      </c>
      <c r="DV44" s="25">
        <v>0</v>
      </c>
      <c r="DW44" s="25">
        <v>8.3460000000000001</v>
      </c>
      <c r="DX44" s="25">
        <v>14.747999999999999</v>
      </c>
      <c r="DY44" s="25">
        <v>0</v>
      </c>
      <c r="DZ44" s="25">
        <v>15.013</v>
      </c>
      <c r="EA44" s="25">
        <v>0</v>
      </c>
      <c r="EB44" s="25">
        <v>7.3780000000000001</v>
      </c>
      <c r="EC44" s="25">
        <v>0</v>
      </c>
      <c r="ED44" s="25">
        <v>0</v>
      </c>
      <c r="EE44" s="25">
        <v>0</v>
      </c>
      <c r="EF44" s="25">
        <v>0</v>
      </c>
      <c r="EG44" s="25">
        <v>6.6349999999999998</v>
      </c>
      <c r="EH44" s="25">
        <v>7.3650000000000002</v>
      </c>
      <c r="EI44" s="25">
        <v>0</v>
      </c>
      <c r="EJ44" s="25">
        <v>2.1219999999999999</v>
      </c>
      <c r="EK44" s="25">
        <v>0</v>
      </c>
      <c r="EL44" s="25">
        <v>0</v>
      </c>
      <c r="EM44" s="25">
        <v>5.1740000000000004</v>
      </c>
      <c r="EN44" s="25">
        <v>0</v>
      </c>
      <c r="EO44" s="25">
        <v>5.2930000000000001</v>
      </c>
      <c r="EP44" s="25">
        <v>0</v>
      </c>
      <c r="EQ44" s="25">
        <v>0</v>
      </c>
      <c r="ER44" s="25">
        <v>44.366999999999997</v>
      </c>
      <c r="ES44" s="25">
        <v>10.365</v>
      </c>
      <c r="ET44" s="25">
        <v>0</v>
      </c>
      <c r="EU44" s="25">
        <v>0</v>
      </c>
      <c r="EV44" s="25">
        <v>0</v>
      </c>
      <c r="EW44" s="25"/>
    </row>
    <row r="45" spans="1:153" ht="17.25" customHeight="1" x14ac:dyDescent="0.25">
      <c r="A45" s="25" t="s">
        <v>162</v>
      </c>
      <c r="B45" s="25">
        <v>5.6050000000000004</v>
      </c>
      <c r="C45" s="25">
        <v>4.3540000000000001</v>
      </c>
      <c r="D45" s="25">
        <v>3.742</v>
      </c>
      <c r="E45" s="25">
        <v>2.355</v>
      </c>
      <c r="F45" s="25">
        <v>2.4649999999999999</v>
      </c>
      <c r="G45" s="25">
        <v>0.46</v>
      </c>
      <c r="H45" s="25">
        <v>0.29399999999999998</v>
      </c>
      <c r="I45" s="25">
        <v>1.5660000000000001</v>
      </c>
      <c r="J45" s="25">
        <v>1.8340000000000001</v>
      </c>
      <c r="K45" s="25">
        <v>2.8119999999999998</v>
      </c>
      <c r="L45" s="25">
        <v>3.7679999999999998</v>
      </c>
      <c r="M45" s="25">
        <v>3.718</v>
      </c>
      <c r="N45" s="25">
        <v>2.35</v>
      </c>
      <c r="O45" s="25">
        <v>0</v>
      </c>
      <c r="P45" s="25">
        <v>1.327</v>
      </c>
      <c r="Q45" s="25">
        <v>2.1219999999999999</v>
      </c>
      <c r="R45" s="25">
        <v>2.98</v>
      </c>
      <c r="S45" s="25">
        <v>4.2060000000000004</v>
      </c>
      <c r="T45" s="25">
        <v>4.4690000000000003</v>
      </c>
      <c r="U45" s="25">
        <v>6.7939999999999996</v>
      </c>
      <c r="V45" s="25">
        <v>5.9569999999999999</v>
      </c>
      <c r="W45" s="25">
        <v>5.23</v>
      </c>
      <c r="X45" s="25">
        <v>9.8219999999999992</v>
      </c>
      <c r="Y45" s="25">
        <v>10.385999999999999</v>
      </c>
      <c r="Z45" s="25">
        <v>11.862</v>
      </c>
      <c r="AA45" s="25">
        <v>16.582000000000001</v>
      </c>
      <c r="AB45" s="25">
        <v>18.317</v>
      </c>
      <c r="AC45" s="25">
        <v>25.2</v>
      </c>
      <c r="AD45" s="25">
        <v>9.5760000000000005</v>
      </c>
      <c r="AE45" s="25">
        <v>7.3620000000000001</v>
      </c>
      <c r="AF45" s="25">
        <v>6.1390000000000002</v>
      </c>
      <c r="AG45" s="25">
        <v>5.2320000000000002</v>
      </c>
      <c r="AH45" s="25">
        <v>4.3540000000000001</v>
      </c>
      <c r="AI45" s="25">
        <v>0</v>
      </c>
      <c r="AJ45" s="25">
        <v>0.29399999999999998</v>
      </c>
      <c r="AK45" s="25">
        <v>1.5660000000000001</v>
      </c>
      <c r="AL45" s="25">
        <v>2.1219999999999999</v>
      </c>
      <c r="AM45" s="25">
        <v>4.97</v>
      </c>
      <c r="AN45" s="25">
        <v>11.773999999999999</v>
      </c>
      <c r="AO45" s="25">
        <v>0</v>
      </c>
      <c r="AP45" s="25">
        <v>7.8979999999999997</v>
      </c>
      <c r="AQ45" s="25">
        <v>4.8360000000000003</v>
      </c>
      <c r="AR45" s="25">
        <v>0</v>
      </c>
      <c r="AS45" s="25">
        <v>0</v>
      </c>
      <c r="AT45" s="25">
        <v>0</v>
      </c>
      <c r="AU45" s="25">
        <v>4.3250000000000002</v>
      </c>
      <c r="AV45" s="25">
        <v>0</v>
      </c>
      <c r="AW45" s="25">
        <v>3.9079999999999999</v>
      </c>
      <c r="AX45" s="25">
        <v>6.532</v>
      </c>
      <c r="AY45" s="25">
        <v>0</v>
      </c>
      <c r="AZ45" s="25">
        <v>1.899</v>
      </c>
      <c r="BA45" s="25">
        <v>0</v>
      </c>
      <c r="BB45" s="25">
        <v>1.3979999999999999</v>
      </c>
      <c r="BC45" s="25">
        <v>0</v>
      </c>
      <c r="BD45" s="25">
        <v>1.323</v>
      </c>
      <c r="BE45" s="25">
        <v>0</v>
      </c>
      <c r="BF45" s="25">
        <v>38.332000000000001</v>
      </c>
      <c r="BG45" s="25">
        <v>0</v>
      </c>
      <c r="BH45" s="25">
        <v>0</v>
      </c>
      <c r="BI45" s="25">
        <v>26.510999999999999</v>
      </c>
      <c r="BJ45" s="25">
        <v>0</v>
      </c>
      <c r="BK45" s="25">
        <v>0</v>
      </c>
      <c r="BL45" s="25">
        <v>0</v>
      </c>
      <c r="BM45" s="25">
        <v>0</v>
      </c>
      <c r="BN45" s="25">
        <v>0</v>
      </c>
      <c r="BO45" s="25">
        <v>0</v>
      </c>
      <c r="BP45" s="25">
        <v>6.7750000000000004</v>
      </c>
      <c r="BQ45" s="25">
        <v>2.7160000000000002</v>
      </c>
      <c r="BR45" s="25">
        <v>0</v>
      </c>
      <c r="BS45" s="25">
        <v>0</v>
      </c>
      <c r="BT45" s="25">
        <v>0</v>
      </c>
      <c r="BU45" s="25">
        <v>8.5730000000000004</v>
      </c>
      <c r="BV45" s="25">
        <v>0</v>
      </c>
      <c r="BW45" s="25">
        <v>0</v>
      </c>
      <c r="BX45" s="25">
        <v>4.8630000000000004</v>
      </c>
      <c r="BY45" s="25">
        <v>1.661</v>
      </c>
      <c r="BZ45" s="25">
        <v>2.48</v>
      </c>
      <c r="CA45" s="25">
        <v>0</v>
      </c>
      <c r="CB45" s="25">
        <v>0</v>
      </c>
      <c r="CC45" s="25">
        <v>8.5419999999999998</v>
      </c>
      <c r="CD45" s="25">
        <v>10.385999999999999</v>
      </c>
      <c r="CE45" s="25">
        <v>0</v>
      </c>
      <c r="CF45" s="25">
        <v>18.539000000000001</v>
      </c>
      <c r="CG45" s="25">
        <v>26.599</v>
      </c>
      <c r="CH45" s="25">
        <v>0</v>
      </c>
      <c r="CI45" s="25">
        <v>0</v>
      </c>
      <c r="CJ45" s="25">
        <v>0</v>
      </c>
      <c r="CK45" s="25">
        <v>0</v>
      </c>
      <c r="CL45" s="25">
        <v>0</v>
      </c>
      <c r="CM45" s="25">
        <v>0</v>
      </c>
      <c r="CN45" s="25">
        <v>0</v>
      </c>
      <c r="CO45" s="25">
        <v>0</v>
      </c>
      <c r="CP45" s="25">
        <v>0</v>
      </c>
      <c r="CQ45" s="25">
        <v>0</v>
      </c>
      <c r="CR45" s="25">
        <v>0</v>
      </c>
      <c r="CS45" s="25">
        <v>45.210999999999999</v>
      </c>
      <c r="CT45" s="25">
        <v>0</v>
      </c>
      <c r="CU45" s="25">
        <v>0</v>
      </c>
      <c r="CV45" s="25">
        <v>3.0449999999999999</v>
      </c>
      <c r="CW45" s="25">
        <v>0</v>
      </c>
      <c r="CX45" s="25">
        <v>0</v>
      </c>
      <c r="CY45" s="25">
        <v>0</v>
      </c>
      <c r="CZ45" s="25">
        <v>7.8540000000000001</v>
      </c>
      <c r="DA45" s="25">
        <v>2.0979999999999999</v>
      </c>
      <c r="DB45" s="25">
        <v>13.99</v>
      </c>
      <c r="DC45" s="25">
        <v>13.323</v>
      </c>
      <c r="DD45" s="25">
        <v>3.762</v>
      </c>
      <c r="DE45" s="25">
        <v>16.651</v>
      </c>
      <c r="DF45" s="25">
        <v>0</v>
      </c>
      <c r="DG45" s="25">
        <v>7.407</v>
      </c>
      <c r="DH45" s="25">
        <v>36.253</v>
      </c>
      <c r="DI45" s="25">
        <v>0</v>
      </c>
      <c r="DJ45" s="25">
        <v>0</v>
      </c>
      <c r="DK45" s="25">
        <v>2.4380000000000002</v>
      </c>
      <c r="DL45" s="25">
        <v>0</v>
      </c>
      <c r="DM45" s="25">
        <v>16.651</v>
      </c>
      <c r="DN45" s="25">
        <v>0</v>
      </c>
      <c r="DO45" s="25">
        <v>0</v>
      </c>
      <c r="DP45" s="25">
        <v>0</v>
      </c>
      <c r="DQ45" s="25">
        <v>0</v>
      </c>
      <c r="DR45" s="25">
        <v>0</v>
      </c>
      <c r="DS45" s="25">
        <v>0</v>
      </c>
      <c r="DT45" s="25">
        <v>0</v>
      </c>
      <c r="DU45" s="25">
        <v>5.5010000000000003</v>
      </c>
      <c r="DV45" s="25">
        <v>0</v>
      </c>
      <c r="DW45" s="25">
        <v>8.3460000000000001</v>
      </c>
      <c r="DX45" s="25">
        <v>14.747999999999999</v>
      </c>
      <c r="DY45" s="25">
        <v>0</v>
      </c>
      <c r="DZ45" s="25">
        <v>15.013</v>
      </c>
      <c r="EA45" s="25">
        <v>0</v>
      </c>
      <c r="EB45" s="25">
        <v>7.3780000000000001</v>
      </c>
      <c r="EC45" s="25">
        <v>0</v>
      </c>
      <c r="ED45" s="25">
        <v>0</v>
      </c>
      <c r="EE45" s="25">
        <v>0</v>
      </c>
      <c r="EF45" s="25">
        <v>0</v>
      </c>
      <c r="EG45" s="25">
        <v>6.6349999999999998</v>
      </c>
      <c r="EH45" s="25">
        <v>7.3650000000000002</v>
      </c>
      <c r="EI45" s="25">
        <v>0</v>
      </c>
      <c r="EJ45" s="25">
        <v>2.1219999999999999</v>
      </c>
      <c r="EK45" s="25">
        <v>0</v>
      </c>
      <c r="EL45" s="25">
        <v>0</v>
      </c>
      <c r="EM45" s="25">
        <v>5.1740000000000004</v>
      </c>
      <c r="EN45" s="25">
        <v>0</v>
      </c>
      <c r="EO45" s="25">
        <v>5.2930000000000001</v>
      </c>
      <c r="EP45" s="25">
        <v>0</v>
      </c>
      <c r="EQ45" s="25">
        <v>0</v>
      </c>
      <c r="ER45" s="25">
        <v>44.366999999999997</v>
      </c>
      <c r="ES45" s="25">
        <v>10.365</v>
      </c>
      <c r="ET45" s="25">
        <v>0</v>
      </c>
      <c r="EU45" s="25">
        <v>0</v>
      </c>
      <c r="EV45" s="25">
        <v>0</v>
      </c>
      <c r="EW45" s="25"/>
    </row>
    <row r="46" spans="1:153" ht="17.25" customHeight="1" x14ac:dyDescent="0.25">
      <c r="A46" s="25" t="s">
        <v>163</v>
      </c>
      <c r="B46" s="25">
        <v>5.6050000000000004</v>
      </c>
      <c r="C46" s="25">
        <v>4.3540000000000001</v>
      </c>
      <c r="D46" s="25">
        <v>3.742</v>
      </c>
      <c r="E46" s="25">
        <v>2.355</v>
      </c>
      <c r="F46" s="25">
        <v>2.4649999999999999</v>
      </c>
      <c r="G46" s="25">
        <v>0.46</v>
      </c>
      <c r="H46" s="25">
        <v>0.29399999999999998</v>
      </c>
      <c r="I46" s="25">
        <v>1.5660000000000001</v>
      </c>
      <c r="J46" s="25">
        <v>1.8340000000000001</v>
      </c>
      <c r="K46" s="25">
        <v>2.8119999999999998</v>
      </c>
      <c r="L46" s="25">
        <v>3.7679999999999998</v>
      </c>
      <c r="M46" s="25">
        <v>3.718</v>
      </c>
      <c r="N46" s="25">
        <v>2.35</v>
      </c>
      <c r="O46" s="25">
        <v>0</v>
      </c>
      <c r="P46" s="25">
        <v>1.327</v>
      </c>
      <c r="Q46" s="25">
        <v>2.1219999999999999</v>
      </c>
      <c r="R46" s="25">
        <v>2.98</v>
      </c>
      <c r="S46" s="25">
        <v>4.2060000000000004</v>
      </c>
      <c r="T46" s="25">
        <v>4.4690000000000003</v>
      </c>
      <c r="U46" s="25">
        <v>6.7939999999999996</v>
      </c>
      <c r="V46" s="25">
        <v>5.9569999999999999</v>
      </c>
      <c r="W46" s="25">
        <v>5.23</v>
      </c>
      <c r="X46" s="25">
        <v>9.8219999999999992</v>
      </c>
      <c r="Y46" s="25">
        <v>10.385999999999999</v>
      </c>
      <c r="Z46" s="25">
        <v>11.862</v>
      </c>
      <c r="AA46" s="25">
        <v>16.582000000000001</v>
      </c>
      <c r="AB46" s="25">
        <v>18.317</v>
      </c>
      <c r="AC46" s="25">
        <v>25.2</v>
      </c>
      <c r="AD46" s="25">
        <v>9.5760000000000005</v>
      </c>
      <c r="AE46" s="25">
        <v>7.3620000000000001</v>
      </c>
      <c r="AF46" s="25">
        <v>6.1390000000000002</v>
      </c>
      <c r="AG46" s="25">
        <v>5.2320000000000002</v>
      </c>
      <c r="AH46" s="25">
        <v>4.3540000000000001</v>
      </c>
      <c r="AI46" s="25">
        <v>0</v>
      </c>
      <c r="AJ46" s="25">
        <v>0.29399999999999998</v>
      </c>
      <c r="AK46" s="25">
        <v>1.5660000000000001</v>
      </c>
      <c r="AL46" s="25">
        <v>2.1219999999999999</v>
      </c>
      <c r="AM46" s="25">
        <v>4.97</v>
      </c>
      <c r="AN46" s="25">
        <v>11.773999999999999</v>
      </c>
      <c r="AO46" s="25">
        <v>0</v>
      </c>
      <c r="AP46" s="25">
        <v>7.8979999999999997</v>
      </c>
      <c r="AQ46" s="25">
        <v>4.8360000000000003</v>
      </c>
      <c r="AR46" s="25">
        <v>0</v>
      </c>
      <c r="AS46" s="25">
        <v>0</v>
      </c>
      <c r="AT46" s="25">
        <v>0</v>
      </c>
      <c r="AU46" s="25">
        <v>4.3250000000000002</v>
      </c>
      <c r="AV46" s="25">
        <v>0</v>
      </c>
      <c r="AW46" s="25">
        <v>3.9079999999999999</v>
      </c>
      <c r="AX46" s="25">
        <v>6.532</v>
      </c>
      <c r="AY46" s="25">
        <v>0</v>
      </c>
      <c r="AZ46" s="25">
        <v>1.899</v>
      </c>
      <c r="BA46" s="25">
        <v>0</v>
      </c>
      <c r="BB46" s="25">
        <v>1.3979999999999999</v>
      </c>
      <c r="BC46" s="25">
        <v>0</v>
      </c>
      <c r="BD46" s="25">
        <v>1.323</v>
      </c>
      <c r="BE46" s="25">
        <v>0</v>
      </c>
      <c r="BF46" s="25">
        <v>38.332000000000001</v>
      </c>
      <c r="BG46" s="25">
        <v>0</v>
      </c>
      <c r="BH46" s="25">
        <v>0</v>
      </c>
      <c r="BI46" s="25">
        <v>26.510999999999999</v>
      </c>
      <c r="BJ46" s="25">
        <v>0</v>
      </c>
      <c r="BK46" s="25">
        <v>0</v>
      </c>
      <c r="BL46" s="25">
        <v>0</v>
      </c>
      <c r="BM46" s="25">
        <v>0</v>
      </c>
      <c r="BN46" s="25">
        <v>0</v>
      </c>
      <c r="BO46" s="25">
        <v>0</v>
      </c>
      <c r="BP46" s="25">
        <v>6.7750000000000004</v>
      </c>
      <c r="BQ46" s="25">
        <v>2.7160000000000002</v>
      </c>
      <c r="BR46" s="25">
        <v>0</v>
      </c>
      <c r="BS46" s="25">
        <v>0</v>
      </c>
      <c r="BT46" s="25">
        <v>0</v>
      </c>
      <c r="BU46" s="25">
        <v>8.5730000000000004</v>
      </c>
      <c r="BV46" s="25">
        <v>0</v>
      </c>
      <c r="BW46" s="25">
        <v>0</v>
      </c>
      <c r="BX46" s="25">
        <v>4.8630000000000004</v>
      </c>
      <c r="BY46" s="25">
        <v>1.661</v>
      </c>
      <c r="BZ46" s="25">
        <v>2.48</v>
      </c>
      <c r="CA46" s="25">
        <v>0</v>
      </c>
      <c r="CB46" s="25">
        <v>0</v>
      </c>
      <c r="CC46" s="25">
        <v>8.5419999999999998</v>
      </c>
      <c r="CD46" s="25">
        <v>10.385999999999999</v>
      </c>
      <c r="CE46" s="25">
        <v>0</v>
      </c>
      <c r="CF46" s="25">
        <v>18.539000000000001</v>
      </c>
      <c r="CG46" s="25">
        <v>26.599</v>
      </c>
      <c r="CH46" s="25">
        <v>0</v>
      </c>
      <c r="CI46" s="25">
        <v>0</v>
      </c>
      <c r="CJ46" s="25">
        <v>0</v>
      </c>
      <c r="CK46" s="25">
        <v>0</v>
      </c>
      <c r="CL46" s="25">
        <v>0</v>
      </c>
      <c r="CM46" s="25">
        <v>0</v>
      </c>
      <c r="CN46" s="25">
        <v>0</v>
      </c>
      <c r="CO46" s="25">
        <v>0</v>
      </c>
      <c r="CP46" s="25">
        <v>0</v>
      </c>
      <c r="CQ46" s="25">
        <v>0</v>
      </c>
      <c r="CR46" s="25">
        <v>0</v>
      </c>
      <c r="CS46" s="25">
        <v>45.210999999999999</v>
      </c>
      <c r="CT46" s="25">
        <v>0</v>
      </c>
      <c r="CU46" s="25">
        <v>0</v>
      </c>
      <c r="CV46" s="25">
        <v>3.0449999999999999</v>
      </c>
      <c r="CW46" s="25">
        <v>0</v>
      </c>
      <c r="CX46" s="25">
        <v>0</v>
      </c>
      <c r="CY46" s="25">
        <v>0</v>
      </c>
      <c r="CZ46" s="25">
        <v>7.8540000000000001</v>
      </c>
      <c r="DA46" s="25">
        <v>2.0979999999999999</v>
      </c>
      <c r="DB46" s="25">
        <v>13.99</v>
      </c>
      <c r="DC46" s="25">
        <v>13.323</v>
      </c>
      <c r="DD46" s="25">
        <v>3.762</v>
      </c>
      <c r="DE46" s="25">
        <v>16.651</v>
      </c>
      <c r="DF46" s="25">
        <v>0</v>
      </c>
      <c r="DG46" s="25">
        <v>7.407</v>
      </c>
      <c r="DH46" s="25">
        <v>36.253</v>
      </c>
      <c r="DI46" s="25">
        <v>0</v>
      </c>
      <c r="DJ46" s="25">
        <v>0</v>
      </c>
      <c r="DK46" s="25">
        <v>2.4380000000000002</v>
      </c>
      <c r="DL46" s="25">
        <v>0</v>
      </c>
      <c r="DM46" s="25">
        <v>16.651</v>
      </c>
      <c r="DN46" s="25">
        <v>0</v>
      </c>
      <c r="DO46" s="25">
        <v>0</v>
      </c>
      <c r="DP46" s="25">
        <v>0</v>
      </c>
      <c r="DQ46" s="25">
        <v>0</v>
      </c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</row>
    <row r="47" spans="1:153" ht="17.25" customHeight="1" x14ac:dyDescent="0.25">
      <c r="A47" s="25" t="s">
        <v>103</v>
      </c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</row>
    <row r="48" spans="1:153" ht="17.25" customHeight="1" x14ac:dyDescent="0.25">
      <c r="A48" s="25" t="s">
        <v>164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</row>
    <row r="49" spans="1:153" ht="17.25" customHeight="1" x14ac:dyDescent="0.25">
      <c r="A49" s="25" t="s">
        <v>165</v>
      </c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</row>
    <row r="50" spans="1:153" ht="17.25" customHeight="1" x14ac:dyDescent="0.25">
      <c r="A50" s="25" t="s">
        <v>166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</row>
    <row r="51" spans="1:153" ht="17.25" customHeight="1" x14ac:dyDescent="0.25">
      <c r="A51" s="25" t="s">
        <v>167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</row>
    <row r="52" spans="1:153" ht="17.25" customHeight="1" x14ac:dyDescent="0.25">
      <c r="A52" s="25" t="s">
        <v>104</v>
      </c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</row>
    <row r="53" spans="1:153" ht="17.25" customHeight="1" x14ac:dyDescent="0.25">
      <c r="A53" s="25" t="s">
        <v>168</v>
      </c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</row>
    <row r="54" spans="1:153" ht="17.25" customHeight="1" x14ac:dyDescent="0.25">
      <c r="A54" s="25" t="s">
        <v>105</v>
      </c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</row>
    <row r="55" spans="1:153" ht="17.25" customHeight="1" x14ac:dyDescent="0.25">
      <c r="A55" s="25" t="s">
        <v>169</v>
      </c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</row>
    <row r="56" spans="1:153" ht="17.25" customHeight="1" x14ac:dyDescent="0.25">
      <c r="A56" s="25" t="s">
        <v>106</v>
      </c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</row>
    <row r="57" spans="1:153" ht="17.25" customHeight="1" x14ac:dyDescent="0.25">
      <c r="A57" s="25" t="s">
        <v>170</v>
      </c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</row>
    <row r="58" spans="1:153" ht="17.25" customHeight="1" x14ac:dyDescent="0.25">
      <c r="A58" s="25" t="s">
        <v>171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W58" s="25"/>
    </row>
    <row r="59" spans="1:153" ht="17.25" customHeight="1" x14ac:dyDescent="0.25">
      <c r="A59" s="25" t="s">
        <v>172</v>
      </c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W59" s="25"/>
    </row>
    <row r="60" spans="1:153" ht="17.25" customHeight="1" x14ac:dyDescent="0.25">
      <c r="A60" s="25" t="s">
        <v>173</v>
      </c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W60" s="25"/>
    </row>
    <row r="61" spans="1:153" ht="17.25" customHeight="1" x14ac:dyDescent="0.25">
      <c r="A61" s="25" t="s">
        <v>107</v>
      </c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W61" s="25"/>
    </row>
    <row r="62" spans="1:153" ht="17.25" customHeight="1" x14ac:dyDescent="0.25">
      <c r="A62" s="25" t="s">
        <v>174</v>
      </c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</row>
    <row r="63" spans="1:153" ht="17.25" customHeight="1" x14ac:dyDescent="0.25">
      <c r="A63" s="25" t="s">
        <v>175</v>
      </c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</row>
    <row r="64" spans="1:153" ht="17.25" customHeight="1" x14ac:dyDescent="0.25">
      <c r="A64" s="25" t="s">
        <v>176</v>
      </c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</row>
    <row r="65" spans="1:153" ht="17.25" customHeight="1" x14ac:dyDescent="0.25">
      <c r="A65" s="25" t="s">
        <v>177</v>
      </c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</row>
    <row r="66" spans="1:153" ht="17.25" customHeight="1" x14ac:dyDescent="0.25">
      <c r="A66" s="25" t="s">
        <v>178</v>
      </c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  <c r="ES66" s="25"/>
      <c r="ET66" s="25"/>
      <c r="EU66" s="25"/>
      <c r="EV66" s="25"/>
      <c r="EW66" s="25"/>
    </row>
    <row r="67" spans="1:153" ht="17.25" customHeight="1" x14ac:dyDescent="0.25">
      <c r="A67" s="25" t="s">
        <v>179</v>
      </c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  <c r="EN67" s="25"/>
      <c r="EO67" s="25"/>
      <c r="EP67" s="25"/>
      <c r="EQ67" s="25"/>
      <c r="ER67" s="25"/>
      <c r="ES67" s="25"/>
      <c r="ET67" s="25"/>
      <c r="EU67" s="25"/>
      <c r="EV67" s="25"/>
      <c r="EW67" s="25"/>
    </row>
    <row r="68" spans="1:153" ht="17.25" customHeight="1" x14ac:dyDescent="0.25">
      <c r="A68" s="25" t="s">
        <v>180</v>
      </c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  <c r="BC68" s="25"/>
      <c r="BD68" s="25"/>
      <c r="BE68" s="25"/>
      <c r="BF68" s="25"/>
      <c r="BG68" s="25"/>
      <c r="BH68" s="25"/>
      <c r="BI68" s="25"/>
      <c r="BJ68" s="25"/>
      <c r="BK68" s="25"/>
      <c r="BL68" s="25"/>
      <c r="BM68" s="25"/>
      <c r="BN68" s="25"/>
      <c r="BO68" s="25"/>
      <c r="BP68" s="25"/>
      <c r="BQ68" s="25"/>
      <c r="BR68" s="25"/>
      <c r="BS68" s="25"/>
      <c r="BT68" s="25"/>
      <c r="BU68" s="25"/>
      <c r="BV68" s="25"/>
      <c r="BW68" s="25"/>
      <c r="BX68" s="25"/>
      <c r="BY68" s="25"/>
      <c r="BZ68" s="25"/>
      <c r="CA68" s="25"/>
      <c r="CB68" s="25"/>
      <c r="CC68" s="25"/>
      <c r="CD68" s="25"/>
      <c r="CE68" s="25"/>
      <c r="CF68" s="25"/>
      <c r="CG68" s="25"/>
      <c r="CH68" s="25"/>
      <c r="CI68" s="25"/>
      <c r="CJ68" s="25"/>
      <c r="CK68" s="25"/>
      <c r="CL68" s="25"/>
      <c r="CM68" s="25"/>
      <c r="CN68" s="25"/>
      <c r="CO68" s="25"/>
      <c r="CP68" s="25"/>
      <c r="CQ68" s="25"/>
      <c r="CR68" s="25"/>
      <c r="CS68" s="25"/>
      <c r="CT68" s="25"/>
      <c r="CU68" s="25"/>
      <c r="CV68" s="25"/>
      <c r="CW68" s="25"/>
      <c r="CX68" s="25"/>
      <c r="CY68" s="25"/>
      <c r="CZ68" s="25"/>
      <c r="DA68" s="25"/>
      <c r="DB68" s="25"/>
      <c r="DC68" s="25"/>
      <c r="DD68" s="25"/>
      <c r="DE68" s="25"/>
      <c r="DF68" s="25"/>
      <c r="DG68" s="25"/>
      <c r="DH68" s="25"/>
      <c r="DI68" s="25"/>
      <c r="DJ68" s="25"/>
      <c r="DK68" s="25"/>
      <c r="DL68" s="25"/>
      <c r="DM68" s="25"/>
      <c r="DN68" s="25"/>
      <c r="DO68" s="25"/>
      <c r="DP68" s="25"/>
      <c r="DQ68" s="25"/>
      <c r="DR68" s="25"/>
      <c r="DS68" s="25"/>
      <c r="DT68" s="25"/>
      <c r="DU68" s="25"/>
      <c r="DV68" s="25"/>
      <c r="DW68" s="25"/>
      <c r="DX68" s="25"/>
      <c r="DY68" s="25"/>
      <c r="DZ68" s="25"/>
      <c r="EA68" s="25"/>
      <c r="EB68" s="25"/>
      <c r="EC68" s="25"/>
      <c r="ED68" s="25"/>
      <c r="EE68" s="25"/>
      <c r="EF68" s="25"/>
      <c r="EG68" s="25"/>
      <c r="EH68" s="25"/>
      <c r="EI68" s="25"/>
      <c r="EJ68" s="25"/>
      <c r="EK68" s="25"/>
      <c r="EL68" s="25"/>
      <c r="EM68" s="25"/>
      <c r="EN68" s="25"/>
      <c r="EO68" s="25"/>
      <c r="EP68" s="25"/>
      <c r="EQ68" s="25"/>
      <c r="ER68" s="25"/>
      <c r="ES68" s="25"/>
      <c r="ET68" s="25"/>
      <c r="EU68" s="25"/>
      <c r="EV68" s="25"/>
      <c r="EW68" s="25"/>
    </row>
    <row r="69" spans="1:153" ht="17.25" customHeight="1" x14ac:dyDescent="0.25">
      <c r="A69" s="25" t="s">
        <v>108</v>
      </c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  <c r="BC69" s="25"/>
      <c r="BD69" s="25"/>
      <c r="BE69" s="25"/>
      <c r="BF69" s="25"/>
      <c r="BG69" s="25"/>
      <c r="BH69" s="25"/>
      <c r="BI69" s="25"/>
      <c r="BJ69" s="25"/>
      <c r="BK69" s="25"/>
      <c r="BL69" s="25"/>
      <c r="BM69" s="25"/>
      <c r="BN69" s="25"/>
      <c r="BO69" s="25"/>
      <c r="BP69" s="25"/>
      <c r="BQ69" s="25"/>
      <c r="BR69" s="25"/>
      <c r="BS69" s="25"/>
      <c r="BT69" s="25"/>
      <c r="BU69" s="25"/>
      <c r="BV69" s="25"/>
      <c r="BW69" s="25"/>
      <c r="BX69" s="25"/>
      <c r="BY69" s="25"/>
      <c r="BZ69" s="25"/>
      <c r="CA69" s="25"/>
      <c r="CB69" s="25"/>
      <c r="CC69" s="25"/>
      <c r="CD69" s="25"/>
      <c r="CE69" s="25"/>
      <c r="CF69" s="25"/>
      <c r="CG69" s="25"/>
      <c r="CH69" s="25"/>
      <c r="CI69" s="25"/>
      <c r="CJ69" s="25"/>
      <c r="CK69" s="25"/>
      <c r="CL69" s="25"/>
      <c r="CM69" s="25"/>
      <c r="CN69" s="25"/>
      <c r="CO69" s="25"/>
      <c r="CP69" s="25"/>
      <c r="CQ69" s="25"/>
      <c r="CR69" s="25"/>
      <c r="CS69" s="25"/>
      <c r="CT69" s="25"/>
      <c r="CU69" s="25"/>
      <c r="CV69" s="25"/>
      <c r="CW69" s="25"/>
      <c r="CX69" s="25"/>
      <c r="CY69" s="25"/>
      <c r="CZ69" s="25"/>
      <c r="DA69" s="25"/>
      <c r="DB69" s="25"/>
      <c r="DC69" s="25"/>
      <c r="DD69" s="25"/>
      <c r="DE69" s="25"/>
      <c r="DF69" s="25"/>
      <c r="DG69" s="25"/>
      <c r="DH69" s="25"/>
      <c r="DI69" s="25"/>
      <c r="DJ69" s="25"/>
      <c r="DK69" s="25"/>
      <c r="DL69" s="25"/>
      <c r="DM69" s="25"/>
      <c r="DN69" s="25"/>
      <c r="DO69" s="25"/>
      <c r="DP69" s="25"/>
      <c r="DQ69" s="25"/>
      <c r="DR69" s="25"/>
      <c r="DS69" s="25"/>
      <c r="DT69" s="25"/>
      <c r="DU69" s="25"/>
      <c r="DV69" s="25"/>
      <c r="DW69" s="25"/>
      <c r="DX69" s="25"/>
      <c r="DY69" s="25"/>
      <c r="DZ69" s="25"/>
      <c r="EA69" s="25"/>
      <c r="EB69" s="25"/>
      <c r="EC69" s="25"/>
      <c r="ED69" s="25"/>
      <c r="EE69" s="25"/>
      <c r="EF69" s="25"/>
      <c r="EG69" s="25"/>
      <c r="EH69" s="25"/>
      <c r="EI69" s="25"/>
      <c r="EJ69" s="25"/>
      <c r="EK69" s="25"/>
      <c r="EL69" s="25"/>
      <c r="EM69" s="25"/>
      <c r="EN69" s="25"/>
      <c r="EO69" s="25"/>
      <c r="EP69" s="25"/>
      <c r="EQ69" s="25"/>
      <c r="ER69" s="25"/>
      <c r="ES69" s="25"/>
      <c r="ET69" s="25"/>
      <c r="EU69" s="25"/>
      <c r="EV69" s="25"/>
      <c r="EW69" s="25"/>
    </row>
    <row r="70" spans="1:153" ht="17.25" customHeight="1" x14ac:dyDescent="0.25">
      <c r="A70" s="25" t="s">
        <v>181</v>
      </c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5"/>
      <c r="AV70" s="25"/>
      <c r="AW70" s="25"/>
      <c r="AX70" s="25"/>
      <c r="AY70" s="25"/>
      <c r="AZ70" s="25"/>
      <c r="BA70" s="25"/>
      <c r="BB70" s="25"/>
      <c r="BC70" s="25"/>
      <c r="BD70" s="25"/>
      <c r="BE70" s="25"/>
      <c r="BF70" s="25"/>
      <c r="BG70" s="25"/>
      <c r="BH70" s="25"/>
      <c r="BI70" s="25"/>
      <c r="BJ70" s="25"/>
      <c r="BK70" s="25"/>
      <c r="BL70" s="25"/>
      <c r="BM70" s="25"/>
      <c r="BN70" s="25"/>
      <c r="BO70" s="25"/>
      <c r="BP70" s="25"/>
      <c r="BQ70" s="25"/>
      <c r="BR70" s="25"/>
      <c r="BS70" s="25"/>
      <c r="BT70" s="25"/>
      <c r="BU70" s="25"/>
      <c r="BV70" s="25"/>
      <c r="BW70" s="25"/>
      <c r="BX70" s="25"/>
      <c r="BY70" s="25"/>
      <c r="BZ70" s="25"/>
      <c r="CA70" s="25"/>
      <c r="CB70" s="25"/>
      <c r="CC70" s="25"/>
      <c r="CD70" s="25"/>
      <c r="CE70" s="25"/>
      <c r="CF70" s="25"/>
      <c r="CG70" s="25"/>
      <c r="CH70" s="25"/>
      <c r="CI70" s="25"/>
      <c r="CJ70" s="25"/>
      <c r="CK70" s="25"/>
      <c r="CL70" s="25"/>
      <c r="CM70" s="25"/>
      <c r="CN70" s="25"/>
      <c r="CO70" s="25"/>
      <c r="CP70" s="25"/>
      <c r="CQ70" s="25"/>
      <c r="CR70" s="25"/>
      <c r="CS70" s="25"/>
      <c r="CT70" s="25"/>
      <c r="CU70" s="25"/>
      <c r="CV70" s="25"/>
      <c r="CW70" s="25"/>
      <c r="CX70" s="25"/>
      <c r="CY70" s="25"/>
      <c r="CZ70" s="25"/>
      <c r="DA70" s="25"/>
      <c r="DB70" s="25"/>
      <c r="DC70" s="25"/>
      <c r="DD70" s="25"/>
      <c r="DE70" s="25"/>
      <c r="DF70" s="25"/>
      <c r="DG70" s="25"/>
      <c r="DH70" s="25"/>
      <c r="DI70" s="25"/>
      <c r="DJ70" s="25"/>
      <c r="DK70" s="25"/>
      <c r="DL70" s="25"/>
      <c r="DM70" s="25"/>
      <c r="DN70" s="25"/>
      <c r="DO70" s="25"/>
      <c r="DP70" s="25"/>
      <c r="DQ70" s="25"/>
      <c r="DR70" s="25"/>
      <c r="DS70" s="25"/>
      <c r="DT70" s="25"/>
      <c r="DU70" s="25"/>
      <c r="DV70" s="25"/>
      <c r="DW70" s="25"/>
      <c r="DX70" s="25"/>
      <c r="DY70" s="25"/>
      <c r="DZ70" s="25"/>
      <c r="EA70" s="25"/>
      <c r="EB70" s="25"/>
      <c r="EC70" s="25"/>
      <c r="ED70" s="25"/>
      <c r="EE70" s="25"/>
      <c r="EF70" s="25"/>
      <c r="EG70" s="25"/>
      <c r="EH70" s="25"/>
      <c r="EI70" s="25"/>
      <c r="EJ70" s="25"/>
      <c r="EK70" s="25"/>
      <c r="EL70" s="25"/>
      <c r="EM70" s="25"/>
      <c r="EN70" s="25"/>
      <c r="EO70" s="25"/>
      <c r="EP70" s="25"/>
      <c r="EQ70" s="25"/>
      <c r="ER70" s="25"/>
      <c r="ES70" s="25"/>
      <c r="ET70" s="25"/>
      <c r="EU70" s="25"/>
      <c r="EV70" s="25"/>
      <c r="EW70" s="25"/>
    </row>
    <row r="71" spans="1:153" ht="17.25" customHeight="1" x14ac:dyDescent="0.25">
      <c r="A71" s="25" t="s">
        <v>182</v>
      </c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  <c r="BC71" s="25"/>
      <c r="BD71" s="25"/>
      <c r="BE71" s="25"/>
      <c r="BF71" s="25"/>
      <c r="BG71" s="25"/>
      <c r="BH71" s="25"/>
      <c r="BI71" s="25"/>
      <c r="BJ71" s="25"/>
      <c r="BK71" s="25"/>
      <c r="BL71" s="25"/>
      <c r="BM71" s="25"/>
      <c r="BN71" s="25"/>
      <c r="BO71" s="25"/>
      <c r="BP71" s="25"/>
      <c r="BQ71" s="25"/>
      <c r="BR71" s="25"/>
      <c r="BS71" s="25"/>
      <c r="BT71" s="25"/>
      <c r="BU71" s="25"/>
      <c r="BV71" s="25"/>
      <c r="BW71" s="25"/>
      <c r="BX71" s="25"/>
      <c r="BY71" s="25"/>
      <c r="BZ71" s="25"/>
      <c r="CA71" s="25"/>
      <c r="CB71" s="25"/>
      <c r="CC71" s="25"/>
      <c r="CD71" s="25"/>
      <c r="CE71" s="25"/>
      <c r="CF71" s="25"/>
      <c r="CG71" s="25"/>
      <c r="CH71" s="25"/>
      <c r="CI71" s="25"/>
      <c r="CJ71" s="25"/>
      <c r="CK71" s="25"/>
      <c r="CL71" s="25"/>
      <c r="CM71" s="25"/>
      <c r="CN71" s="25"/>
      <c r="CO71" s="25"/>
      <c r="CP71" s="25"/>
      <c r="CQ71" s="25"/>
      <c r="CR71" s="25"/>
      <c r="CS71" s="25"/>
      <c r="CT71" s="25"/>
      <c r="CU71" s="25"/>
      <c r="CV71" s="25"/>
      <c r="CW71" s="25"/>
      <c r="CX71" s="25"/>
      <c r="CY71" s="25"/>
      <c r="CZ71" s="25"/>
      <c r="DA71" s="25"/>
      <c r="DB71" s="25"/>
      <c r="DC71" s="25"/>
      <c r="DD71" s="25"/>
      <c r="DE71" s="25"/>
      <c r="DF71" s="25"/>
      <c r="DG71" s="25"/>
      <c r="DH71" s="25"/>
      <c r="DI71" s="25"/>
      <c r="DJ71" s="25"/>
      <c r="DK71" s="25"/>
      <c r="DL71" s="25"/>
      <c r="DM71" s="25"/>
      <c r="DN71" s="25"/>
      <c r="DO71" s="25"/>
      <c r="DP71" s="25"/>
      <c r="DQ71" s="25"/>
      <c r="DR71" s="25"/>
      <c r="DS71" s="25"/>
      <c r="DT71" s="25"/>
      <c r="DU71" s="25"/>
      <c r="DV71" s="25"/>
      <c r="DW71" s="25"/>
      <c r="DX71" s="25"/>
      <c r="DY71" s="25"/>
      <c r="DZ71" s="25"/>
      <c r="EA71" s="25"/>
      <c r="EB71" s="25"/>
      <c r="EC71" s="25"/>
      <c r="ED71" s="25"/>
      <c r="EE71" s="25"/>
      <c r="EF71" s="25"/>
      <c r="EG71" s="25"/>
      <c r="EH71" s="25"/>
      <c r="EI71" s="25"/>
      <c r="EJ71" s="25"/>
      <c r="EK71" s="25"/>
      <c r="EL71" s="25"/>
      <c r="EM71" s="25"/>
      <c r="EN71" s="25"/>
      <c r="EO71" s="25"/>
      <c r="EP71" s="25"/>
      <c r="EQ71" s="25"/>
      <c r="ER71" s="25"/>
      <c r="ES71" s="25"/>
      <c r="ET71" s="25"/>
      <c r="EU71" s="25"/>
      <c r="EV71" s="25"/>
      <c r="EW71" s="25"/>
    </row>
    <row r="72" spans="1:153" ht="17.25" customHeight="1" x14ac:dyDescent="0.25">
      <c r="A72" s="25" t="s">
        <v>183</v>
      </c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5"/>
      <c r="AV72" s="25"/>
      <c r="AW72" s="25"/>
      <c r="AX72" s="25"/>
      <c r="AY72" s="25"/>
      <c r="AZ72" s="25"/>
      <c r="BA72" s="25"/>
      <c r="BB72" s="25"/>
      <c r="BC72" s="25"/>
      <c r="BD72" s="25"/>
      <c r="BE72" s="25"/>
      <c r="BF72" s="25"/>
      <c r="BG72" s="25"/>
      <c r="BH72" s="25"/>
      <c r="BI72" s="25"/>
      <c r="BJ72" s="25"/>
      <c r="BK72" s="25"/>
      <c r="BL72" s="25"/>
      <c r="BM72" s="25"/>
      <c r="BN72" s="25"/>
      <c r="BO72" s="25"/>
      <c r="BP72" s="25"/>
      <c r="BQ72" s="25"/>
      <c r="BR72" s="25"/>
      <c r="BS72" s="25"/>
      <c r="BT72" s="25"/>
      <c r="BU72" s="25"/>
      <c r="BV72" s="25"/>
      <c r="BW72" s="25"/>
      <c r="BX72" s="25"/>
      <c r="BY72" s="25"/>
      <c r="BZ72" s="25"/>
      <c r="CA72" s="25"/>
      <c r="CB72" s="25"/>
      <c r="CC72" s="25"/>
      <c r="CD72" s="25"/>
      <c r="CE72" s="25"/>
      <c r="CF72" s="25"/>
      <c r="CG72" s="25"/>
      <c r="CH72" s="25"/>
      <c r="CI72" s="25"/>
      <c r="CJ72" s="25"/>
      <c r="CK72" s="25"/>
      <c r="CL72" s="25"/>
      <c r="CM72" s="25"/>
      <c r="CN72" s="25"/>
      <c r="CO72" s="25"/>
      <c r="CP72" s="25"/>
      <c r="CQ72" s="25"/>
      <c r="CR72" s="25"/>
      <c r="CS72" s="25"/>
      <c r="CT72" s="25"/>
      <c r="CU72" s="25"/>
      <c r="CV72" s="25"/>
      <c r="CW72" s="25"/>
      <c r="CX72" s="25"/>
      <c r="CY72" s="25"/>
      <c r="CZ72" s="25"/>
      <c r="DA72" s="25"/>
      <c r="DB72" s="25"/>
      <c r="DC72" s="25"/>
      <c r="DD72" s="25"/>
      <c r="DE72" s="25"/>
      <c r="DF72" s="25"/>
      <c r="DG72" s="25"/>
      <c r="DH72" s="25"/>
      <c r="DI72" s="25"/>
      <c r="DJ72" s="25"/>
      <c r="DK72" s="25"/>
      <c r="DL72" s="25"/>
      <c r="DM72" s="25"/>
      <c r="DN72" s="25"/>
      <c r="DO72" s="25"/>
      <c r="DP72" s="25"/>
      <c r="DQ72" s="25"/>
      <c r="DR72" s="25"/>
      <c r="DS72" s="25"/>
      <c r="DT72" s="25"/>
      <c r="DU72" s="25"/>
      <c r="DV72" s="25"/>
      <c r="DW72" s="25"/>
      <c r="DX72" s="25"/>
      <c r="DY72" s="25"/>
      <c r="DZ72" s="25"/>
      <c r="EA72" s="25"/>
      <c r="EB72" s="25"/>
      <c r="EC72" s="25"/>
      <c r="ED72" s="25"/>
      <c r="EE72" s="25"/>
      <c r="EF72" s="25"/>
      <c r="EG72" s="25"/>
      <c r="EH72" s="25"/>
      <c r="EI72" s="25"/>
      <c r="EJ72" s="25"/>
      <c r="EK72" s="25"/>
      <c r="EL72" s="25"/>
      <c r="EM72" s="25"/>
      <c r="EN72" s="25"/>
      <c r="EO72" s="25"/>
      <c r="EP72" s="25"/>
      <c r="EQ72" s="25"/>
      <c r="ER72" s="25"/>
      <c r="ES72" s="25"/>
      <c r="ET72" s="25"/>
      <c r="EU72" s="25"/>
      <c r="EV72" s="25"/>
      <c r="EW72" s="25"/>
    </row>
    <row r="73" spans="1:153" ht="17.25" customHeight="1" x14ac:dyDescent="0.25">
      <c r="A73" s="25" t="s">
        <v>184</v>
      </c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5"/>
      <c r="AY73" s="25"/>
      <c r="AZ73" s="25"/>
      <c r="BA73" s="25"/>
      <c r="BB73" s="25"/>
      <c r="BC73" s="25"/>
      <c r="BD73" s="25"/>
      <c r="BE73" s="25"/>
      <c r="BF73" s="25"/>
      <c r="BG73" s="25"/>
      <c r="BH73" s="25"/>
      <c r="BI73" s="25"/>
      <c r="BJ73" s="25"/>
      <c r="BK73" s="25"/>
      <c r="BL73" s="25"/>
      <c r="BM73" s="25"/>
      <c r="BN73" s="25"/>
      <c r="BO73" s="25"/>
      <c r="BP73" s="25"/>
      <c r="BQ73" s="25"/>
      <c r="BR73" s="25"/>
      <c r="BS73" s="25"/>
      <c r="BT73" s="25"/>
      <c r="BU73" s="25"/>
      <c r="BV73" s="25"/>
      <c r="BW73" s="25"/>
      <c r="BX73" s="25"/>
      <c r="BY73" s="25"/>
      <c r="BZ73" s="25"/>
      <c r="CA73" s="25"/>
      <c r="CB73" s="25"/>
      <c r="CC73" s="25"/>
      <c r="CD73" s="25"/>
      <c r="CE73" s="25"/>
      <c r="CF73" s="25"/>
      <c r="CG73" s="25"/>
      <c r="CH73" s="25"/>
      <c r="CI73" s="25"/>
      <c r="CJ73" s="25"/>
      <c r="CK73" s="25"/>
      <c r="CL73" s="25"/>
      <c r="CM73" s="25"/>
      <c r="CN73" s="25"/>
      <c r="CO73" s="25"/>
      <c r="CP73" s="25"/>
      <c r="CQ73" s="25"/>
      <c r="CR73" s="25"/>
      <c r="CS73" s="25"/>
      <c r="CT73" s="25"/>
      <c r="CU73" s="25"/>
      <c r="CV73" s="25"/>
      <c r="CW73" s="25"/>
      <c r="CX73" s="25"/>
      <c r="CY73" s="25"/>
      <c r="CZ73" s="25"/>
      <c r="DA73" s="25"/>
      <c r="DB73" s="25"/>
      <c r="DC73" s="25"/>
      <c r="DD73" s="25"/>
      <c r="DE73" s="25"/>
      <c r="DF73" s="25"/>
      <c r="DG73" s="25"/>
      <c r="DH73" s="25"/>
      <c r="DI73" s="25"/>
      <c r="DJ73" s="25"/>
      <c r="DK73" s="25"/>
      <c r="DL73" s="25"/>
      <c r="DM73" s="25"/>
      <c r="DN73" s="25"/>
      <c r="DO73" s="25"/>
      <c r="DP73" s="25"/>
      <c r="DQ73" s="25"/>
      <c r="DR73" s="25"/>
      <c r="DS73" s="25"/>
      <c r="DT73" s="25"/>
      <c r="DU73" s="25"/>
      <c r="DV73" s="25"/>
      <c r="DW73" s="25"/>
      <c r="DX73" s="25"/>
      <c r="DY73" s="25"/>
      <c r="DZ73" s="25"/>
      <c r="EA73" s="25"/>
      <c r="EB73" s="25"/>
      <c r="EC73" s="25"/>
      <c r="ED73" s="25"/>
      <c r="EE73" s="25"/>
      <c r="EF73" s="25"/>
      <c r="EG73" s="25"/>
      <c r="EH73" s="25"/>
      <c r="EI73" s="25"/>
      <c r="EJ73" s="25"/>
      <c r="EK73" s="25"/>
      <c r="EL73" s="25"/>
      <c r="EM73" s="25"/>
      <c r="EN73" s="25"/>
      <c r="EO73" s="25"/>
      <c r="EP73" s="25"/>
      <c r="EQ73" s="25"/>
      <c r="ER73" s="25"/>
      <c r="ES73" s="25"/>
      <c r="ET73" s="25"/>
      <c r="EU73" s="25"/>
      <c r="EV73" s="25"/>
      <c r="EW73" s="25"/>
    </row>
    <row r="74" spans="1:153" ht="17.25" customHeight="1" x14ac:dyDescent="0.25">
      <c r="A74" s="25" t="s">
        <v>185</v>
      </c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25"/>
      <c r="BH74" s="25"/>
      <c r="BI74" s="25"/>
      <c r="BJ74" s="25"/>
      <c r="BK74" s="25"/>
      <c r="BL74" s="25"/>
      <c r="BM74" s="25"/>
      <c r="BN74" s="25"/>
      <c r="BO74" s="25"/>
      <c r="BP74" s="25"/>
      <c r="BQ74" s="25"/>
      <c r="BR74" s="25"/>
      <c r="BS74" s="25"/>
      <c r="BT74" s="25"/>
      <c r="BU74" s="25"/>
      <c r="BV74" s="25"/>
      <c r="BW74" s="25"/>
      <c r="BX74" s="25"/>
      <c r="BY74" s="25"/>
      <c r="BZ74" s="25"/>
      <c r="CA74" s="25"/>
      <c r="CB74" s="25"/>
      <c r="CC74" s="25"/>
      <c r="CD74" s="25"/>
      <c r="CE74" s="25"/>
      <c r="CF74" s="25"/>
      <c r="CG74" s="25"/>
      <c r="CH74" s="25"/>
      <c r="CI74" s="25"/>
      <c r="CJ74" s="25"/>
      <c r="CK74" s="25"/>
      <c r="CL74" s="25"/>
      <c r="CM74" s="25"/>
      <c r="CN74" s="25"/>
      <c r="CO74" s="25"/>
      <c r="CP74" s="25"/>
      <c r="CQ74" s="25"/>
      <c r="CR74" s="25"/>
      <c r="CS74" s="25"/>
      <c r="CT74" s="25"/>
      <c r="CU74" s="25"/>
      <c r="CV74" s="25"/>
      <c r="CW74" s="25"/>
      <c r="CX74" s="25"/>
      <c r="CY74" s="25"/>
      <c r="CZ74" s="25"/>
      <c r="DA74" s="25"/>
      <c r="DB74" s="25"/>
      <c r="DC74" s="25"/>
      <c r="DD74" s="25"/>
      <c r="DE74" s="25"/>
      <c r="DF74" s="25"/>
      <c r="DG74" s="25"/>
      <c r="DH74" s="25"/>
      <c r="DI74" s="25"/>
      <c r="DJ74" s="25"/>
      <c r="DK74" s="25"/>
      <c r="DL74" s="25"/>
      <c r="DM74" s="25"/>
      <c r="DN74" s="25"/>
      <c r="DO74" s="25"/>
      <c r="DP74" s="25"/>
      <c r="DQ74" s="25"/>
      <c r="DR74" s="25"/>
      <c r="DS74" s="25"/>
      <c r="DT74" s="25"/>
      <c r="DU74" s="25"/>
      <c r="DV74" s="25"/>
      <c r="DW74" s="25"/>
      <c r="DX74" s="25"/>
      <c r="DY74" s="25"/>
      <c r="DZ74" s="25"/>
      <c r="EA74" s="25"/>
      <c r="EB74" s="25"/>
      <c r="EC74" s="25"/>
      <c r="ED74" s="25"/>
      <c r="EE74" s="25"/>
      <c r="EF74" s="25"/>
      <c r="EG74" s="25"/>
      <c r="EH74" s="25"/>
      <c r="EI74" s="25"/>
      <c r="EJ74" s="25"/>
      <c r="EK74" s="25"/>
      <c r="EL74" s="25"/>
      <c r="EM74" s="25"/>
      <c r="EN74" s="25"/>
      <c r="EO74" s="25"/>
      <c r="EP74" s="25"/>
      <c r="EQ74" s="25"/>
      <c r="ER74" s="25"/>
      <c r="ES74" s="25"/>
      <c r="ET74" s="25"/>
      <c r="EU74" s="25"/>
      <c r="EV74" s="25"/>
      <c r="EW74" s="25"/>
    </row>
    <row r="75" spans="1:153" ht="17.25" customHeight="1" x14ac:dyDescent="0.25">
      <c r="A75" s="25" t="s">
        <v>186</v>
      </c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25"/>
      <c r="BB75" s="25"/>
      <c r="BC75" s="25"/>
      <c r="BD75" s="25"/>
      <c r="BE75" s="25"/>
      <c r="BF75" s="25"/>
      <c r="BG75" s="25"/>
      <c r="BH75" s="25"/>
      <c r="BI75" s="25"/>
      <c r="BJ75" s="25"/>
      <c r="BK75" s="25"/>
      <c r="BL75" s="25"/>
      <c r="BM75" s="25"/>
      <c r="BN75" s="25"/>
      <c r="BO75" s="25"/>
      <c r="BP75" s="25"/>
      <c r="BQ75" s="25"/>
      <c r="BR75" s="25"/>
      <c r="BS75" s="25"/>
      <c r="BT75" s="25"/>
      <c r="BU75" s="25"/>
      <c r="BV75" s="25"/>
      <c r="BW75" s="25"/>
      <c r="BX75" s="25"/>
      <c r="BY75" s="25"/>
      <c r="BZ75" s="25"/>
      <c r="CA75" s="25"/>
      <c r="CB75" s="25"/>
      <c r="CC75" s="25"/>
      <c r="CD75" s="25"/>
      <c r="CE75" s="25"/>
      <c r="CF75" s="25"/>
      <c r="CG75" s="25"/>
      <c r="CH75" s="25"/>
      <c r="CI75" s="25"/>
      <c r="CJ75" s="25"/>
      <c r="CK75" s="25"/>
      <c r="CL75" s="25"/>
      <c r="CM75" s="25"/>
      <c r="CN75" s="25"/>
      <c r="CO75" s="25"/>
      <c r="CP75" s="25"/>
      <c r="CQ75" s="25"/>
      <c r="CR75" s="25"/>
      <c r="CS75" s="25"/>
      <c r="CT75" s="25"/>
      <c r="CU75" s="25"/>
      <c r="CV75" s="25"/>
      <c r="CW75" s="25"/>
      <c r="CX75" s="25"/>
      <c r="CY75" s="25"/>
      <c r="CZ75" s="25"/>
      <c r="DA75" s="25"/>
      <c r="DB75" s="25"/>
      <c r="DC75" s="25"/>
      <c r="DD75" s="25"/>
      <c r="DE75" s="25"/>
      <c r="DF75" s="25"/>
      <c r="DG75" s="25"/>
      <c r="DH75" s="25"/>
      <c r="DI75" s="25"/>
      <c r="DJ75" s="25"/>
      <c r="DK75" s="25"/>
      <c r="DL75" s="25"/>
      <c r="DM75" s="25"/>
      <c r="DN75" s="25"/>
      <c r="DO75" s="25"/>
      <c r="DP75" s="25"/>
      <c r="DQ75" s="25"/>
      <c r="DR75" s="25"/>
      <c r="DS75" s="25"/>
      <c r="DT75" s="25"/>
      <c r="DU75" s="25"/>
      <c r="DV75" s="25"/>
      <c r="DW75" s="25"/>
      <c r="DX75" s="25"/>
      <c r="DY75" s="25"/>
      <c r="DZ75" s="25"/>
      <c r="EA75" s="25"/>
      <c r="EB75" s="25"/>
      <c r="EC75" s="25"/>
      <c r="ED75" s="25"/>
      <c r="EE75" s="25"/>
      <c r="EF75" s="25"/>
      <c r="EG75" s="25"/>
      <c r="EH75" s="25"/>
      <c r="EI75" s="25"/>
      <c r="EJ75" s="25"/>
      <c r="EK75" s="25"/>
      <c r="EL75" s="25"/>
      <c r="EM75" s="25"/>
      <c r="EN75" s="25"/>
      <c r="EO75" s="25"/>
      <c r="EP75" s="25"/>
      <c r="EQ75" s="25"/>
      <c r="ER75" s="25"/>
      <c r="ES75" s="25"/>
      <c r="ET75" s="25"/>
      <c r="EU75" s="25"/>
      <c r="EV75" s="25"/>
      <c r="EW75" s="25"/>
    </row>
    <row r="76" spans="1:153" ht="17.25" customHeight="1" x14ac:dyDescent="0.25">
      <c r="A76" s="25" t="s">
        <v>187</v>
      </c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5"/>
      <c r="AV76" s="25"/>
      <c r="AW76" s="25"/>
      <c r="AX76" s="25"/>
      <c r="AY76" s="25"/>
      <c r="AZ76" s="25"/>
      <c r="BA76" s="25"/>
      <c r="BB76" s="25"/>
      <c r="BC76" s="25"/>
      <c r="BD76" s="25"/>
      <c r="BE76" s="25"/>
      <c r="BF76" s="25"/>
      <c r="BG76" s="25"/>
      <c r="BH76" s="25"/>
      <c r="BI76" s="25"/>
      <c r="BJ76" s="25"/>
      <c r="BK76" s="25"/>
      <c r="BL76" s="25"/>
      <c r="BM76" s="25"/>
      <c r="BN76" s="25"/>
      <c r="BO76" s="25"/>
      <c r="BP76" s="25"/>
      <c r="BQ76" s="25"/>
      <c r="BR76" s="25"/>
      <c r="BS76" s="25"/>
      <c r="BT76" s="25"/>
      <c r="BU76" s="25"/>
      <c r="BV76" s="25"/>
      <c r="BW76" s="25"/>
      <c r="BX76" s="25"/>
      <c r="BY76" s="25"/>
      <c r="BZ76" s="25"/>
      <c r="CA76" s="25"/>
      <c r="CB76" s="25"/>
      <c r="CC76" s="25"/>
      <c r="CD76" s="25"/>
      <c r="CE76" s="25"/>
      <c r="CF76" s="25"/>
      <c r="CG76" s="25"/>
      <c r="CH76" s="25"/>
      <c r="CI76" s="25"/>
      <c r="CJ76" s="25"/>
      <c r="CK76" s="25"/>
      <c r="CL76" s="25"/>
      <c r="CM76" s="25"/>
      <c r="CN76" s="25"/>
      <c r="CO76" s="25"/>
      <c r="CP76" s="25"/>
      <c r="CQ76" s="25"/>
      <c r="CR76" s="25"/>
      <c r="CS76" s="25"/>
      <c r="CT76" s="25"/>
      <c r="CU76" s="25"/>
      <c r="CV76" s="25"/>
      <c r="CW76" s="25"/>
      <c r="CX76" s="25"/>
      <c r="CY76" s="25"/>
      <c r="CZ76" s="25"/>
      <c r="DA76" s="25"/>
      <c r="DB76" s="25"/>
      <c r="DC76" s="25"/>
      <c r="DD76" s="25"/>
      <c r="DE76" s="25"/>
      <c r="DF76" s="25"/>
      <c r="DG76" s="25"/>
      <c r="DH76" s="25"/>
      <c r="DI76" s="25"/>
      <c r="DJ76" s="25"/>
      <c r="DK76" s="25"/>
      <c r="DL76" s="25"/>
      <c r="DM76" s="25"/>
      <c r="DN76" s="25"/>
      <c r="DO76" s="25"/>
      <c r="DP76" s="25"/>
      <c r="DQ76" s="25"/>
      <c r="DR76" s="25"/>
      <c r="DS76" s="25"/>
      <c r="DT76" s="25"/>
      <c r="DU76" s="25"/>
      <c r="DV76" s="25"/>
      <c r="DW76" s="25"/>
      <c r="DX76" s="25"/>
      <c r="DY76" s="25"/>
      <c r="DZ76" s="25"/>
      <c r="EA76" s="25"/>
      <c r="EB76" s="25"/>
      <c r="EC76" s="25"/>
      <c r="ED76" s="25"/>
      <c r="EE76" s="25"/>
      <c r="EF76" s="25"/>
      <c r="EG76" s="25"/>
      <c r="EH76" s="25"/>
      <c r="EI76" s="25"/>
      <c r="EJ76" s="25"/>
      <c r="EK76" s="25"/>
      <c r="EL76" s="25"/>
      <c r="EM76" s="25"/>
      <c r="EN76" s="25"/>
      <c r="EO76" s="25"/>
      <c r="EP76" s="25"/>
      <c r="EQ76" s="25"/>
      <c r="ER76" s="25"/>
      <c r="ES76" s="25"/>
      <c r="ET76" s="25"/>
      <c r="EU76" s="25"/>
      <c r="EV76" s="25"/>
      <c r="EW76" s="25"/>
    </row>
    <row r="77" spans="1:153" ht="17.25" customHeight="1" x14ac:dyDescent="0.25">
      <c r="A77" s="25" t="s">
        <v>109</v>
      </c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  <c r="BC77" s="25"/>
      <c r="BD77" s="25"/>
      <c r="BE77" s="25"/>
      <c r="BF77" s="25"/>
      <c r="BG77" s="25"/>
      <c r="BH77" s="25"/>
      <c r="BI77" s="25"/>
      <c r="BJ77" s="25"/>
      <c r="BK77" s="25"/>
      <c r="BL77" s="25"/>
      <c r="BM77" s="25"/>
      <c r="BN77" s="25"/>
      <c r="BO77" s="25"/>
      <c r="BP77" s="25"/>
      <c r="BQ77" s="25"/>
      <c r="BR77" s="25"/>
      <c r="BS77" s="25"/>
      <c r="BT77" s="25"/>
      <c r="BU77" s="25"/>
      <c r="BV77" s="25"/>
      <c r="BW77" s="25"/>
      <c r="BX77" s="25"/>
      <c r="BY77" s="25"/>
      <c r="BZ77" s="25"/>
      <c r="CA77" s="25"/>
      <c r="CB77" s="25"/>
      <c r="CC77" s="25"/>
      <c r="CD77" s="25"/>
      <c r="CE77" s="25"/>
      <c r="CF77" s="25"/>
      <c r="CG77" s="25"/>
      <c r="CH77" s="25"/>
      <c r="CI77" s="25"/>
      <c r="CJ77" s="25"/>
      <c r="CK77" s="25"/>
      <c r="CL77" s="25"/>
      <c r="CM77" s="25"/>
      <c r="CN77" s="25"/>
      <c r="CO77" s="25"/>
      <c r="CP77" s="25"/>
      <c r="CQ77" s="25"/>
      <c r="CR77" s="25"/>
      <c r="CS77" s="25"/>
      <c r="CT77" s="25"/>
      <c r="CU77" s="25"/>
      <c r="CV77" s="25"/>
      <c r="CW77" s="25"/>
      <c r="CX77" s="25"/>
      <c r="CY77" s="25"/>
      <c r="CZ77" s="25"/>
      <c r="DA77" s="25"/>
      <c r="DB77" s="25"/>
      <c r="DC77" s="25"/>
      <c r="DD77" s="25"/>
      <c r="DE77" s="25"/>
      <c r="DF77" s="25"/>
      <c r="DG77" s="25"/>
      <c r="DH77" s="25"/>
      <c r="DI77" s="25"/>
      <c r="DJ77" s="25"/>
      <c r="DK77" s="25"/>
      <c r="DL77" s="25"/>
      <c r="DM77" s="25"/>
      <c r="DN77" s="25"/>
      <c r="DO77" s="25"/>
      <c r="DP77" s="25"/>
      <c r="DQ77" s="25"/>
      <c r="DR77" s="25"/>
      <c r="DS77" s="25"/>
      <c r="DT77" s="25"/>
      <c r="DU77" s="25"/>
      <c r="DV77" s="25"/>
      <c r="DW77" s="25"/>
      <c r="DX77" s="25"/>
      <c r="DY77" s="25"/>
      <c r="DZ77" s="25"/>
      <c r="EA77" s="25"/>
      <c r="EB77" s="25"/>
      <c r="EC77" s="25"/>
      <c r="ED77" s="25"/>
      <c r="EE77" s="25"/>
      <c r="EF77" s="25"/>
      <c r="EG77" s="25"/>
      <c r="EH77" s="25"/>
      <c r="EI77" s="25"/>
      <c r="EJ77" s="25"/>
      <c r="EK77" s="25"/>
      <c r="EL77" s="25"/>
      <c r="EM77" s="25"/>
      <c r="EN77" s="25"/>
      <c r="EO77" s="25"/>
      <c r="EP77" s="25"/>
      <c r="EQ77" s="25"/>
      <c r="ER77" s="25"/>
      <c r="ES77" s="25"/>
      <c r="ET77" s="25"/>
      <c r="EU77" s="25"/>
      <c r="EV77" s="25"/>
      <c r="EW77" s="25"/>
    </row>
    <row r="78" spans="1:153" ht="17.25" customHeight="1" x14ac:dyDescent="0.25">
      <c r="A78" s="25" t="s">
        <v>188</v>
      </c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5"/>
      <c r="AV78" s="25"/>
      <c r="AW78" s="25"/>
      <c r="AX78" s="25"/>
      <c r="AY78" s="25"/>
      <c r="AZ78" s="25"/>
      <c r="BA78" s="25"/>
      <c r="BB78" s="25"/>
      <c r="BC78" s="25"/>
      <c r="BD78" s="25"/>
      <c r="BE78" s="25"/>
      <c r="BF78" s="25"/>
      <c r="BG78" s="25"/>
      <c r="BH78" s="25"/>
      <c r="BI78" s="25"/>
      <c r="BJ78" s="25"/>
      <c r="BK78" s="25"/>
      <c r="BL78" s="25"/>
      <c r="BM78" s="25"/>
      <c r="BN78" s="25"/>
      <c r="BO78" s="25"/>
      <c r="BP78" s="25"/>
      <c r="BQ78" s="25"/>
      <c r="BR78" s="25"/>
      <c r="BS78" s="25"/>
      <c r="BT78" s="25"/>
      <c r="BU78" s="25"/>
      <c r="BV78" s="25"/>
      <c r="BW78" s="25"/>
      <c r="BX78" s="25"/>
      <c r="BY78" s="25"/>
      <c r="BZ78" s="25"/>
      <c r="CA78" s="25"/>
      <c r="CB78" s="25"/>
      <c r="CC78" s="25"/>
      <c r="CD78" s="25"/>
      <c r="CE78" s="25"/>
      <c r="CF78" s="25"/>
      <c r="CG78" s="25"/>
      <c r="CH78" s="25"/>
      <c r="CI78" s="25"/>
      <c r="CJ78" s="25"/>
      <c r="CK78" s="25"/>
      <c r="CL78" s="25"/>
      <c r="CM78" s="25"/>
      <c r="CN78" s="25"/>
      <c r="CO78" s="25"/>
      <c r="CP78" s="25"/>
      <c r="CQ78" s="25"/>
      <c r="CR78" s="25"/>
      <c r="CS78" s="25"/>
      <c r="CT78" s="25"/>
      <c r="CU78" s="25"/>
      <c r="CV78" s="25"/>
      <c r="CW78" s="25"/>
      <c r="CX78" s="25"/>
      <c r="CY78" s="25"/>
      <c r="CZ78" s="25"/>
      <c r="DA78" s="25"/>
      <c r="DB78" s="25"/>
      <c r="DC78" s="25"/>
      <c r="DD78" s="25"/>
      <c r="DE78" s="25"/>
      <c r="DF78" s="25"/>
      <c r="DG78" s="25"/>
      <c r="DH78" s="25"/>
      <c r="DI78" s="25"/>
      <c r="DJ78" s="25"/>
      <c r="DK78" s="25"/>
      <c r="DL78" s="25"/>
      <c r="DM78" s="25"/>
      <c r="DN78" s="25"/>
      <c r="DO78" s="25"/>
      <c r="DP78" s="25"/>
      <c r="DQ78" s="25"/>
      <c r="DR78" s="25"/>
      <c r="DS78" s="25"/>
      <c r="DT78" s="25"/>
      <c r="DU78" s="25"/>
      <c r="DV78" s="25"/>
      <c r="DW78" s="25"/>
      <c r="DX78" s="25"/>
      <c r="DY78" s="25"/>
      <c r="DZ78" s="25"/>
      <c r="EA78" s="25"/>
      <c r="EB78" s="25"/>
      <c r="EC78" s="25"/>
      <c r="ED78" s="25"/>
      <c r="EE78" s="25"/>
      <c r="EF78" s="25"/>
      <c r="EG78" s="25"/>
      <c r="EH78" s="25"/>
      <c r="EI78" s="25"/>
      <c r="EJ78" s="25"/>
      <c r="EK78" s="25"/>
      <c r="EL78" s="25"/>
      <c r="EM78" s="25"/>
      <c r="EN78" s="25"/>
      <c r="EO78" s="25"/>
      <c r="EP78" s="25"/>
      <c r="EQ78" s="25"/>
      <c r="ER78" s="25"/>
      <c r="ES78" s="25"/>
      <c r="ET78" s="25"/>
      <c r="EU78" s="25"/>
      <c r="EV78" s="25"/>
      <c r="EW78" s="25"/>
    </row>
    <row r="79" spans="1:153" ht="17.25" customHeight="1" x14ac:dyDescent="0.25">
      <c r="A79" s="25" t="s">
        <v>189</v>
      </c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5"/>
      <c r="AV79" s="25"/>
      <c r="AW79" s="25"/>
      <c r="AX79" s="25"/>
      <c r="AY79" s="25"/>
      <c r="AZ79" s="25"/>
      <c r="BA79" s="25"/>
      <c r="BB79" s="25"/>
      <c r="BC79" s="25"/>
      <c r="BD79" s="25"/>
      <c r="BE79" s="25"/>
      <c r="BF79" s="25"/>
      <c r="BG79" s="25"/>
      <c r="BH79" s="25"/>
      <c r="BI79" s="25"/>
      <c r="BJ79" s="25"/>
      <c r="BK79" s="25"/>
      <c r="BL79" s="25"/>
      <c r="BM79" s="25"/>
      <c r="BN79" s="25"/>
      <c r="BO79" s="25"/>
      <c r="BP79" s="25"/>
      <c r="BQ79" s="25"/>
      <c r="BR79" s="25"/>
      <c r="BS79" s="25"/>
      <c r="BT79" s="25"/>
      <c r="BU79" s="25"/>
      <c r="BV79" s="25"/>
      <c r="BW79" s="25"/>
      <c r="BX79" s="25"/>
      <c r="BY79" s="25"/>
      <c r="BZ79" s="25"/>
      <c r="CA79" s="25"/>
      <c r="CB79" s="25"/>
      <c r="CC79" s="25"/>
      <c r="CD79" s="25"/>
      <c r="CE79" s="25"/>
      <c r="CF79" s="25"/>
      <c r="CG79" s="25"/>
      <c r="CH79" s="25"/>
      <c r="CI79" s="25"/>
      <c r="CJ79" s="25"/>
      <c r="CK79" s="25"/>
      <c r="CL79" s="25"/>
      <c r="CM79" s="25"/>
      <c r="CN79" s="25"/>
      <c r="CO79" s="25"/>
      <c r="CP79" s="25"/>
      <c r="CQ79" s="25"/>
      <c r="CR79" s="25"/>
      <c r="CS79" s="25"/>
      <c r="CT79" s="25"/>
      <c r="CU79" s="25"/>
      <c r="CV79" s="25"/>
      <c r="CW79" s="25"/>
      <c r="CX79" s="25"/>
      <c r="CY79" s="25"/>
      <c r="CZ79" s="25"/>
      <c r="DA79" s="25"/>
      <c r="DB79" s="25"/>
      <c r="DC79" s="25"/>
      <c r="DD79" s="25"/>
      <c r="DE79" s="25"/>
      <c r="DF79" s="25"/>
      <c r="DG79" s="25"/>
      <c r="DH79" s="25"/>
      <c r="DI79" s="25"/>
      <c r="DJ79" s="25"/>
      <c r="DK79" s="25"/>
      <c r="DL79" s="25"/>
      <c r="DM79" s="25"/>
      <c r="DN79" s="25"/>
      <c r="DO79" s="25"/>
      <c r="DP79" s="25"/>
      <c r="DQ79" s="25"/>
      <c r="DR79" s="25"/>
      <c r="DS79" s="25"/>
      <c r="DT79" s="25"/>
      <c r="DU79" s="25"/>
      <c r="DV79" s="25"/>
      <c r="DW79" s="25"/>
      <c r="DX79" s="25"/>
      <c r="DY79" s="25"/>
      <c r="DZ79" s="25"/>
      <c r="EA79" s="25"/>
      <c r="EB79" s="25"/>
      <c r="EC79" s="25"/>
      <c r="ED79" s="25"/>
      <c r="EE79" s="25"/>
      <c r="EF79" s="25"/>
      <c r="EG79" s="25"/>
      <c r="EH79" s="25"/>
      <c r="EI79" s="25"/>
      <c r="EJ79" s="25"/>
      <c r="EK79" s="25"/>
      <c r="EL79" s="25"/>
      <c r="EM79" s="25"/>
      <c r="EN79" s="25"/>
      <c r="EO79" s="25"/>
      <c r="EP79" s="25"/>
      <c r="EQ79" s="25"/>
      <c r="ER79" s="25"/>
      <c r="ES79" s="25"/>
      <c r="ET79" s="25"/>
      <c r="EU79" s="25"/>
      <c r="EV79" s="25"/>
      <c r="EW79" s="25"/>
    </row>
    <row r="80" spans="1:153" ht="17.25" customHeight="1" x14ac:dyDescent="0.25">
      <c r="A80" s="25" t="s">
        <v>190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5"/>
      <c r="AV80" s="25"/>
      <c r="AW80" s="25"/>
      <c r="AX80" s="25"/>
      <c r="AY80" s="25"/>
      <c r="AZ80" s="25"/>
      <c r="BA80" s="25"/>
      <c r="BB80" s="25"/>
      <c r="BC80" s="25"/>
      <c r="BD80" s="25"/>
      <c r="BE80" s="25"/>
      <c r="BF80" s="25"/>
      <c r="BG80" s="25"/>
      <c r="BH80" s="25"/>
      <c r="BI80" s="25"/>
      <c r="BJ80" s="25"/>
      <c r="BK80" s="25"/>
      <c r="BL80" s="25"/>
      <c r="BM80" s="25"/>
      <c r="BN80" s="25"/>
      <c r="BO80" s="25"/>
      <c r="BP80" s="25"/>
      <c r="BQ80" s="25"/>
      <c r="BR80" s="25"/>
      <c r="BS80" s="25"/>
      <c r="BT80" s="25"/>
      <c r="BU80" s="25"/>
      <c r="BV80" s="25"/>
      <c r="BW80" s="25"/>
      <c r="BX80" s="25"/>
      <c r="BY80" s="25"/>
      <c r="BZ80" s="25"/>
      <c r="CA80" s="25"/>
      <c r="CB80" s="25"/>
      <c r="CC80" s="25"/>
      <c r="CD80" s="25"/>
      <c r="CE80" s="25"/>
      <c r="CF80" s="25"/>
      <c r="CG80" s="25"/>
      <c r="CH80" s="25"/>
      <c r="CI80" s="25"/>
      <c r="CJ80" s="25"/>
      <c r="CK80" s="25"/>
      <c r="CL80" s="25"/>
      <c r="CM80" s="25"/>
      <c r="CN80" s="25"/>
      <c r="CO80" s="25"/>
      <c r="CP80" s="25"/>
      <c r="CQ80" s="25"/>
      <c r="CR80" s="25"/>
      <c r="CS80" s="25"/>
      <c r="CT80" s="25"/>
      <c r="CU80" s="25"/>
      <c r="CV80" s="25"/>
      <c r="CW80" s="25"/>
      <c r="CX80" s="25"/>
      <c r="CY80" s="25"/>
      <c r="CZ80" s="25"/>
      <c r="DA80" s="25"/>
      <c r="DB80" s="25"/>
      <c r="DC80" s="25"/>
      <c r="DD80" s="25"/>
      <c r="DE80" s="25"/>
      <c r="DF80" s="25"/>
      <c r="DG80" s="25"/>
      <c r="DH80" s="25"/>
      <c r="DI80" s="25"/>
      <c r="DJ80" s="25"/>
      <c r="DK80" s="25"/>
      <c r="DL80" s="25"/>
      <c r="DM80" s="25"/>
      <c r="DN80" s="25"/>
      <c r="DO80" s="25"/>
      <c r="DP80" s="25"/>
      <c r="DQ80" s="25"/>
      <c r="DR80" s="25"/>
      <c r="DS80" s="25"/>
      <c r="DT80" s="25"/>
      <c r="DU80" s="25"/>
      <c r="DV80" s="25"/>
      <c r="DW80" s="25"/>
      <c r="DX80" s="25"/>
      <c r="DY80" s="25"/>
      <c r="DZ80" s="25"/>
      <c r="EA80" s="25"/>
      <c r="EB80" s="25"/>
      <c r="EC80" s="25"/>
      <c r="ED80" s="25"/>
      <c r="EE80" s="25"/>
      <c r="EF80" s="25"/>
      <c r="EG80" s="25"/>
      <c r="EH80" s="25"/>
      <c r="EI80" s="25"/>
      <c r="EJ80" s="25"/>
      <c r="EK80" s="25"/>
      <c r="EL80" s="25"/>
      <c r="EM80" s="25"/>
      <c r="EN80" s="25"/>
      <c r="EO80" s="25"/>
      <c r="EP80" s="25"/>
      <c r="EQ80" s="25"/>
      <c r="ER80" s="25"/>
      <c r="ES80" s="25"/>
      <c r="ET80" s="25"/>
      <c r="EU80" s="25"/>
      <c r="EV80" s="25"/>
      <c r="EW80" s="25"/>
    </row>
    <row r="81" spans="1:153" ht="17.25" customHeight="1" x14ac:dyDescent="0.25">
      <c r="A81" s="25" t="s">
        <v>191</v>
      </c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5"/>
      <c r="AV81" s="25"/>
      <c r="AW81" s="25"/>
      <c r="AX81" s="25"/>
      <c r="AY81" s="25"/>
      <c r="AZ81" s="25"/>
      <c r="BA81" s="25"/>
      <c r="BB81" s="25"/>
      <c r="BC81" s="25"/>
      <c r="BD81" s="25"/>
      <c r="BE81" s="25"/>
      <c r="BF81" s="25"/>
      <c r="BG81" s="25"/>
      <c r="BH81" s="25"/>
      <c r="BI81" s="25"/>
      <c r="BJ81" s="25"/>
      <c r="BK81" s="25"/>
      <c r="BL81" s="25"/>
      <c r="BM81" s="25"/>
      <c r="BN81" s="25"/>
      <c r="BO81" s="25"/>
      <c r="BP81" s="25"/>
      <c r="BQ81" s="25"/>
      <c r="BR81" s="25"/>
      <c r="BS81" s="25"/>
      <c r="BT81" s="25"/>
      <c r="BU81" s="25"/>
      <c r="BV81" s="25"/>
      <c r="BW81" s="25"/>
      <c r="BX81" s="25"/>
      <c r="BY81" s="25"/>
      <c r="BZ81" s="25"/>
      <c r="CA81" s="25"/>
      <c r="CB81" s="25"/>
      <c r="CC81" s="25"/>
      <c r="CD81" s="25"/>
      <c r="CE81" s="25"/>
      <c r="CF81" s="25"/>
      <c r="CG81" s="25"/>
      <c r="CH81" s="25"/>
      <c r="CI81" s="25"/>
      <c r="CJ81" s="25"/>
      <c r="CK81" s="25"/>
      <c r="CL81" s="25"/>
      <c r="CM81" s="25"/>
      <c r="CN81" s="25"/>
      <c r="CO81" s="25"/>
      <c r="CP81" s="25"/>
      <c r="CQ81" s="25"/>
      <c r="CR81" s="25"/>
      <c r="CS81" s="25"/>
      <c r="CT81" s="25"/>
      <c r="CU81" s="25"/>
      <c r="CV81" s="25"/>
      <c r="CW81" s="25"/>
      <c r="CX81" s="25"/>
      <c r="CY81" s="25"/>
      <c r="CZ81" s="25"/>
      <c r="DA81" s="25"/>
      <c r="DB81" s="25"/>
      <c r="DC81" s="25"/>
      <c r="DD81" s="25"/>
      <c r="DE81" s="25"/>
      <c r="DF81" s="25"/>
      <c r="DG81" s="25"/>
      <c r="DH81" s="25"/>
      <c r="DI81" s="25"/>
      <c r="DJ81" s="25"/>
      <c r="DK81" s="25"/>
      <c r="DL81" s="25"/>
      <c r="DM81" s="25"/>
      <c r="DN81" s="25"/>
      <c r="DO81" s="25"/>
      <c r="DP81" s="25"/>
      <c r="DQ81" s="25"/>
      <c r="DR81" s="25"/>
      <c r="DS81" s="25"/>
      <c r="DT81" s="25"/>
      <c r="DU81" s="25"/>
      <c r="DV81" s="25"/>
      <c r="DW81" s="25"/>
      <c r="DX81" s="25"/>
      <c r="DY81" s="25"/>
      <c r="DZ81" s="25"/>
      <c r="EA81" s="25"/>
      <c r="EB81" s="25"/>
      <c r="EC81" s="25"/>
      <c r="ED81" s="25"/>
      <c r="EE81" s="25"/>
      <c r="EF81" s="25"/>
      <c r="EG81" s="25"/>
      <c r="EH81" s="25"/>
      <c r="EI81" s="25"/>
      <c r="EJ81" s="25"/>
      <c r="EK81" s="25"/>
      <c r="EL81" s="25"/>
      <c r="EM81" s="25"/>
      <c r="EN81" s="25"/>
      <c r="EO81" s="25"/>
      <c r="EP81" s="25"/>
      <c r="EQ81" s="25"/>
      <c r="ER81" s="25"/>
      <c r="ES81" s="25"/>
      <c r="ET81" s="25"/>
      <c r="EU81" s="25"/>
      <c r="EV81" s="25"/>
      <c r="EW81" s="25"/>
    </row>
    <row r="82" spans="1:153" ht="17.25" customHeight="1" x14ac:dyDescent="0.25">
      <c r="A82" s="25" t="s">
        <v>192</v>
      </c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  <c r="AX82" s="25"/>
      <c r="AY82" s="25"/>
      <c r="AZ82" s="25"/>
      <c r="BA82" s="25"/>
      <c r="BB82" s="25"/>
      <c r="BC82" s="25"/>
      <c r="BD82" s="25"/>
      <c r="BE82" s="25"/>
      <c r="BF82" s="25"/>
      <c r="BG82" s="25"/>
      <c r="BH82" s="25"/>
      <c r="BI82" s="25"/>
      <c r="BJ82" s="25"/>
      <c r="BK82" s="25"/>
      <c r="BL82" s="25"/>
      <c r="BM82" s="25"/>
      <c r="BN82" s="25"/>
      <c r="BO82" s="25"/>
      <c r="BP82" s="25"/>
      <c r="BQ82" s="25"/>
      <c r="BR82" s="25"/>
      <c r="BS82" s="25"/>
      <c r="BT82" s="25"/>
      <c r="BU82" s="25"/>
      <c r="BV82" s="25"/>
      <c r="BW82" s="25"/>
      <c r="BX82" s="25"/>
      <c r="BY82" s="25"/>
      <c r="BZ82" s="25"/>
      <c r="CA82" s="25"/>
      <c r="CB82" s="25"/>
      <c r="CC82" s="25"/>
      <c r="CD82" s="25"/>
      <c r="CE82" s="25"/>
      <c r="CF82" s="25"/>
      <c r="CG82" s="25"/>
      <c r="CH82" s="25"/>
      <c r="CI82" s="25"/>
      <c r="CJ82" s="25"/>
      <c r="CK82" s="25"/>
      <c r="CL82" s="25"/>
      <c r="CM82" s="25"/>
      <c r="CN82" s="25"/>
      <c r="CO82" s="25"/>
      <c r="CP82" s="25"/>
      <c r="CQ82" s="25"/>
      <c r="CR82" s="25"/>
      <c r="CS82" s="25"/>
      <c r="CT82" s="25"/>
      <c r="CU82" s="25"/>
      <c r="CV82" s="25"/>
      <c r="CW82" s="25"/>
      <c r="CX82" s="25"/>
      <c r="CY82" s="25"/>
      <c r="CZ82" s="25"/>
      <c r="DA82" s="25"/>
      <c r="DB82" s="25"/>
      <c r="DC82" s="25"/>
      <c r="DD82" s="25"/>
      <c r="DE82" s="25"/>
      <c r="DF82" s="25"/>
      <c r="DG82" s="25"/>
      <c r="DH82" s="25"/>
      <c r="DI82" s="25"/>
      <c r="DJ82" s="25"/>
      <c r="DK82" s="25"/>
      <c r="DL82" s="25"/>
      <c r="DM82" s="25"/>
      <c r="DN82" s="25"/>
      <c r="DO82" s="25"/>
      <c r="DP82" s="25"/>
      <c r="DQ82" s="25"/>
      <c r="DR82" s="25"/>
      <c r="DS82" s="25"/>
      <c r="DT82" s="25"/>
      <c r="DU82" s="25"/>
      <c r="DV82" s="25"/>
      <c r="DW82" s="25"/>
      <c r="DX82" s="25"/>
      <c r="DY82" s="25"/>
      <c r="DZ82" s="25"/>
      <c r="EA82" s="25"/>
      <c r="EB82" s="25"/>
      <c r="EC82" s="25"/>
      <c r="ED82" s="25"/>
      <c r="EE82" s="25"/>
      <c r="EF82" s="25"/>
      <c r="EG82" s="25"/>
      <c r="EH82" s="25"/>
      <c r="EI82" s="25"/>
      <c r="EJ82" s="25"/>
      <c r="EK82" s="25"/>
      <c r="EL82" s="25"/>
      <c r="EM82" s="25"/>
      <c r="EN82" s="25"/>
      <c r="EO82" s="25"/>
      <c r="EP82" s="25"/>
      <c r="EQ82" s="25"/>
      <c r="ER82" s="25"/>
      <c r="ES82" s="25"/>
      <c r="ET82" s="25"/>
      <c r="EU82" s="25"/>
      <c r="EV82" s="25"/>
      <c r="EW82" s="25"/>
    </row>
    <row r="83" spans="1:153" ht="17.25" customHeight="1" x14ac:dyDescent="0.25">
      <c r="A83" s="25" t="s">
        <v>193</v>
      </c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5"/>
      <c r="AV83" s="25"/>
      <c r="AW83" s="25"/>
      <c r="AX83" s="25"/>
      <c r="AY83" s="25"/>
      <c r="AZ83" s="25"/>
      <c r="BA83" s="25"/>
      <c r="BB83" s="25"/>
      <c r="BC83" s="25"/>
      <c r="BD83" s="25"/>
      <c r="BE83" s="25"/>
      <c r="BF83" s="25"/>
      <c r="BG83" s="25"/>
      <c r="BH83" s="25"/>
      <c r="BI83" s="25"/>
      <c r="BJ83" s="25"/>
      <c r="BK83" s="25"/>
      <c r="BL83" s="25"/>
      <c r="BM83" s="25"/>
      <c r="BN83" s="25"/>
      <c r="BO83" s="25"/>
      <c r="BP83" s="25"/>
      <c r="BQ83" s="25"/>
      <c r="BR83" s="25"/>
      <c r="BS83" s="25"/>
      <c r="BT83" s="25"/>
      <c r="BU83" s="25"/>
      <c r="BV83" s="25"/>
      <c r="BW83" s="25"/>
      <c r="BX83" s="25"/>
      <c r="BY83" s="25"/>
      <c r="BZ83" s="25"/>
      <c r="CA83" s="25"/>
      <c r="CB83" s="25"/>
      <c r="CC83" s="25"/>
      <c r="CD83" s="25"/>
      <c r="CE83" s="25"/>
      <c r="CF83" s="25"/>
      <c r="CG83" s="25"/>
      <c r="CH83" s="25"/>
      <c r="CI83" s="25"/>
      <c r="CJ83" s="25"/>
      <c r="CK83" s="25"/>
      <c r="CL83" s="25"/>
      <c r="CM83" s="25"/>
      <c r="CN83" s="25"/>
      <c r="CO83" s="25"/>
      <c r="CP83" s="25"/>
      <c r="CQ83" s="25"/>
      <c r="CR83" s="25"/>
      <c r="CS83" s="25"/>
      <c r="CT83" s="25"/>
      <c r="CU83" s="25"/>
      <c r="CV83" s="25"/>
      <c r="CW83" s="25"/>
      <c r="CX83" s="25"/>
      <c r="CY83" s="25"/>
      <c r="CZ83" s="25"/>
      <c r="DA83" s="25"/>
      <c r="DB83" s="25"/>
      <c r="DC83" s="25"/>
      <c r="DD83" s="25"/>
      <c r="DE83" s="25"/>
      <c r="DF83" s="25"/>
      <c r="DG83" s="25"/>
      <c r="DH83" s="25"/>
      <c r="DI83" s="25"/>
      <c r="DJ83" s="25"/>
      <c r="DK83" s="25"/>
      <c r="DL83" s="25"/>
      <c r="DM83" s="25"/>
      <c r="DN83" s="25"/>
      <c r="DO83" s="25"/>
      <c r="DP83" s="25"/>
      <c r="DQ83" s="25"/>
      <c r="DR83" s="25"/>
      <c r="DS83" s="25"/>
      <c r="DT83" s="25"/>
      <c r="DU83" s="25"/>
      <c r="DV83" s="25"/>
      <c r="DW83" s="25"/>
      <c r="DX83" s="25"/>
      <c r="DY83" s="25"/>
      <c r="DZ83" s="25"/>
      <c r="EA83" s="25"/>
      <c r="EB83" s="25"/>
      <c r="EC83" s="25"/>
      <c r="ED83" s="25"/>
      <c r="EE83" s="25"/>
      <c r="EF83" s="25"/>
      <c r="EG83" s="25"/>
      <c r="EH83" s="25"/>
      <c r="EI83" s="25"/>
      <c r="EJ83" s="25"/>
      <c r="EK83" s="25"/>
      <c r="EL83" s="25"/>
      <c r="EM83" s="25"/>
      <c r="EN83" s="25"/>
      <c r="EO83" s="25"/>
      <c r="EP83" s="25"/>
      <c r="EQ83" s="25"/>
      <c r="ER83" s="25"/>
      <c r="ES83" s="25"/>
      <c r="ET83" s="25"/>
      <c r="EU83" s="25"/>
      <c r="EV83" s="25"/>
      <c r="EW83" s="25"/>
    </row>
    <row r="84" spans="1:153" ht="17.25" customHeight="1" x14ac:dyDescent="0.25">
      <c r="A84" s="25" t="s">
        <v>110</v>
      </c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  <c r="AU84" s="25"/>
      <c r="AV84" s="25"/>
      <c r="AW84" s="25"/>
      <c r="AX84" s="25"/>
      <c r="AY84" s="25"/>
      <c r="AZ84" s="25"/>
      <c r="BA84" s="25"/>
      <c r="BB84" s="25"/>
      <c r="BC84" s="25"/>
      <c r="BD84" s="25"/>
      <c r="BE84" s="25"/>
      <c r="BF84" s="25"/>
      <c r="BG84" s="25"/>
      <c r="BH84" s="25"/>
      <c r="BI84" s="25"/>
      <c r="BJ84" s="25"/>
      <c r="BK84" s="25"/>
      <c r="BL84" s="25"/>
      <c r="BM84" s="25"/>
      <c r="BN84" s="25"/>
      <c r="BO84" s="25"/>
      <c r="BP84" s="25"/>
      <c r="BQ84" s="25"/>
      <c r="BR84" s="25"/>
      <c r="BS84" s="25"/>
      <c r="BT84" s="25"/>
      <c r="BU84" s="25"/>
      <c r="BV84" s="25"/>
      <c r="BW84" s="25"/>
      <c r="BX84" s="25"/>
      <c r="BY84" s="25"/>
      <c r="BZ84" s="25"/>
      <c r="CA84" s="25"/>
      <c r="CB84" s="25"/>
      <c r="CC84" s="25"/>
      <c r="CD84" s="25"/>
      <c r="CE84" s="25"/>
      <c r="CF84" s="25"/>
      <c r="CG84" s="25"/>
      <c r="CH84" s="25"/>
      <c r="CI84" s="25"/>
      <c r="CJ84" s="25"/>
      <c r="CK84" s="25"/>
      <c r="CL84" s="25"/>
      <c r="CM84" s="25"/>
      <c r="CN84" s="25"/>
      <c r="CO84" s="25"/>
      <c r="CP84" s="25"/>
      <c r="CQ84" s="25"/>
      <c r="CR84" s="25"/>
      <c r="CS84" s="25"/>
      <c r="CT84" s="25"/>
      <c r="CU84" s="25"/>
      <c r="CV84" s="25"/>
      <c r="CW84" s="25"/>
      <c r="CX84" s="25"/>
      <c r="CY84" s="25"/>
      <c r="CZ84" s="25"/>
      <c r="DA84" s="25"/>
      <c r="DB84" s="25"/>
      <c r="DC84" s="25"/>
      <c r="DD84" s="25"/>
      <c r="DE84" s="25"/>
      <c r="DF84" s="25"/>
      <c r="DG84" s="25"/>
      <c r="DH84" s="25"/>
      <c r="DI84" s="25"/>
      <c r="DJ84" s="25"/>
      <c r="DK84" s="25"/>
      <c r="DL84" s="25"/>
      <c r="DM84" s="25"/>
      <c r="DN84" s="25"/>
      <c r="DO84" s="25"/>
      <c r="DP84" s="25"/>
      <c r="DQ84" s="25"/>
      <c r="DR84" s="25"/>
      <c r="DS84" s="25"/>
      <c r="DT84" s="25"/>
      <c r="DU84" s="25"/>
      <c r="DV84" s="25"/>
      <c r="DW84" s="25"/>
      <c r="DX84" s="25"/>
      <c r="DY84" s="25"/>
      <c r="DZ84" s="25"/>
      <c r="EA84" s="25"/>
      <c r="EB84" s="25"/>
      <c r="EC84" s="25"/>
      <c r="ED84" s="25"/>
      <c r="EE84" s="25"/>
      <c r="EF84" s="25"/>
      <c r="EG84" s="25"/>
      <c r="EH84" s="25"/>
      <c r="EI84" s="25"/>
      <c r="EJ84" s="25"/>
      <c r="EK84" s="25"/>
      <c r="EL84" s="25"/>
      <c r="EM84" s="25"/>
      <c r="EN84" s="25"/>
      <c r="EO84" s="25"/>
      <c r="EP84" s="25"/>
      <c r="EQ84" s="25"/>
      <c r="ER84" s="25"/>
      <c r="ES84" s="25"/>
      <c r="ET84" s="25"/>
      <c r="EU84" s="25"/>
      <c r="EV84" s="25"/>
      <c r="EW84" s="25"/>
    </row>
    <row r="85" spans="1:153" ht="17.25" customHeight="1" x14ac:dyDescent="0.25">
      <c r="A85" s="25" t="s">
        <v>194</v>
      </c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  <c r="AU85" s="25"/>
      <c r="AV85" s="25"/>
      <c r="AW85" s="25"/>
      <c r="AX85" s="25"/>
      <c r="AY85" s="25"/>
      <c r="AZ85" s="25"/>
      <c r="BA85" s="25"/>
      <c r="BB85" s="25"/>
      <c r="BC85" s="25"/>
      <c r="BD85" s="25"/>
      <c r="BE85" s="25"/>
      <c r="BF85" s="25"/>
      <c r="BG85" s="25"/>
      <c r="BH85" s="25"/>
      <c r="BI85" s="25"/>
      <c r="BJ85" s="25"/>
      <c r="BK85" s="25"/>
      <c r="BL85" s="25"/>
      <c r="BM85" s="25"/>
      <c r="BN85" s="25"/>
      <c r="BO85" s="25"/>
      <c r="BP85" s="25"/>
      <c r="BQ85" s="25"/>
      <c r="BR85" s="25"/>
      <c r="BS85" s="25"/>
      <c r="BT85" s="25"/>
      <c r="BU85" s="25"/>
      <c r="BV85" s="25"/>
      <c r="BW85" s="25"/>
      <c r="BX85" s="25"/>
      <c r="BY85" s="25"/>
      <c r="BZ85" s="25"/>
      <c r="CA85" s="25"/>
      <c r="CB85" s="25"/>
      <c r="CC85" s="25"/>
      <c r="CD85" s="25"/>
      <c r="CE85" s="25"/>
      <c r="CF85" s="25"/>
      <c r="CG85" s="25"/>
      <c r="CH85" s="25"/>
      <c r="CI85" s="25"/>
      <c r="CJ85" s="25"/>
      <c r="CK85" s="25"/>
      <c r="CL85" s="25"/>
      <c r="CM85" s="25"/>
      <c r="CN85" s="25"/>
      <c r="CO85" s="25"/>
      <c r="CP85" s="25"/>
      <c r="CQ85" s="25"/>
      <c r="CR85" s="25"/>
      <c r="CS85" s="25"/>
      <c r="CT85" s="25"/>
      <c r="CU85" s="25"/>
      <c r="CV85" s="25"/>
      <c r="CW85" s="25"/>
      <c r="CX85" s="25"/>
      <c r="CY85" s="25"/>
      <c r="CZ85" s="25"/>
      <c r="DA85" s="25"/>
      <c r="DB85" s="25"/>
      <c r="DC85" s="25"/>
      <c r="DD85" s="25"/>
      <c r="DE85" s="25"/>
      <c r="DF85" s="25"/>
      <c r="DG85" s="25"/>
      <c r="DH85" s="25"/>
      <c r="DI85" s="25"/>
      <c r="DJ85" s="25"/>
      <c r="DK85" s="25"/>
      <c r="DL85" s="25"/>
      <c r="DM85" s="25"/>
      <c r="DN85" s="25"/>
      <c r="DO85" s="25"/>
      <c r="DP85" s="25"/>
      <c r="DQ85" s="25"/>
      <c r="DR85" s="25"/>
      <c r="DS85" s="25"/>
      <c r="DT85" s="25"/>
      <c r="DU85" s="25"/>
      <c r="DV85" s="25"/>
      <c r="DW85" s="25"/>
      <c r="DX85" s="25"/>
      <c r="DY85" s="25"/>
      <c r="DZ85" s="25"/>
      <c r="EA85" s="25"/>
      <c r="EB85" s="25"/>
      <c r="EC85" s="25"/>
      <c r="ED85" s="25"/>
      <c r="EE85" s="25"/>
      <c r="EF85" s="25"/>
      <c r="EG85" s="25"/>
      <c r="EH85" s="25"/>
      <c r="EI85" s="25"/>
      <c r="EJ85" s="25"/>
      <c r="EK85" s="25"/>
      <c r="EL85" s="25"/>
      <c r="EM85" s="25"/>
      <c r="EN85" s="25"/>
      <c r="EO85" s="25"/>
      <c r="EP85" s="25"/>
      <c r="EQ85" s="25"/>
      <c r="ER85" s="25"/>
      <c r="ES85" s="25"/>
      <c r="ET85" s="25"/>
      <c r="EU85" s="25"/>
      <c r="EV85" s="25"/>
      <c r="EW85" s="25"/>
    </row>
    <row r="86" spans="1:153" ht="17.25" customHeight="1" x14ac:dyDescent="0.25">
      <c r="A86" s="25" t="s">
        <v>195</v>
      </c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5"/>
      <c r="AV86" s="25"/>
      <c r="AW86" s="25"/>
      <c r="AX86" s="25"/>
      <c r="AY86" s="25"/>
      <c r="AZ86" s="25"/>
      <c r="BA86" s="25"/>
      <c r="BB86" s="25"/>
      <c r="BC86" s="25"/>
      <c r="BD86" s="25"/>
      <c r="BE86" s="25"/>
      <c r="BF86" s="25"/>
      <c r="BG86" s="25"/>
      <c r="BH86" s="25"/>
      <c r="BI86" s="25"/>
      <c r="BJ86" s="25"/>
      <c r="BK86" s="25"/>
      <c r="BL86" s="25"/>
      <c r="BM86" s="25"/>
      <c r="BN86" s="25"/>
      <c r="BO86" s="25"/>
      <c r="BP86" s="25"/>
      <c r="BQ86" s="25"/>
      <c r="BR86" s="25"/>
      <c r="BS86" s="25"/>
      <c r="BT86" s="25"/>
      <c r="BU86" s="25"/>
      <c r="BV86" s="25"/>
      <c r="BW86" s="25"/>
      <c r="BX86" s="25"/>
      <c r="BY86" s="25"/>
      <c r="BZ86" s="25"/>
      <c r="CA86" s="25"/>
      <c r="CB86" s="25"/>
      <c r="CC86" s="25"/>
      <c r="CD86" s="25"/>
      <c r="CE86" s="25"/>
      <c r="CF86" s="25"/>
      <c r="CG86" s="25"/>
      <c r="CH86" s="25"/>
      <c r="CI86" s="25"/>
      <c r="CJ86" s="25"/>
      <c r="CK86" s="25"/>
      <c r="CL86" s="25"/>
      <c r="CM86" s="25"/>
      <c r="CN86" s="25"/>
      <c r="CO86" s="25"/>
      <c r="CP86" s="25"/>
      <c r="CQ86" s="25"/>
      <c r="CR86" s="25"/>
      <c r="CS86" s="25"/>
      <c r="CT86" s="25"/>
      <c r="CU86" s="25"/>
      <c r="CV86" s="25"/>
      <c r="CW86" s="25"/>
      <c r="CX86" s="25"/>
      <c r="CY86" s="25"/>
      <c r="CZ86" s="25"/>
      <c r="DA86" s="25"/>
      <c r="DB86" s="25"/>
      <c r="DC86" s="25"/>
      <c r="DD86" s="25"/>
      <c r="DE86" s="25"/>
      <c r="DF86" s="25"/>
      <c r="DG86" s="25"/>
      <c r="DH86" s="25"/>
      <c r="DI86" s="25"/>
      <c r="DJ86" s="25"/>
      <c r="DK86" s="25"/>
      <c r="DL86" s="25"/>
      <c r="DM86" s="25"/>
      <c r="DN86" s="25"/>
      <c r="DO86" s="25"/>
      <c r="DP86" s="25"/>
      <c r="DQ86" s="25"/>
      <c r="DR86" s="25"/>
      <c r="DS86" s="25"/>
      <c r="DT86" s="25"/>
      <c r="DU86" s="25"/>
      <c r="DV86" s="25"/>
      <c r="DW86" s="25"/>
      <c r="DX86" s="25"/>
      <c r="DY86" s="25"/>
      <c r="DZ86" s="25"/>
      <c r="EA86" s="25"/>
      <c r="EB86" s="25"/>
      <c r="EC86" s="25"/>
      <c r="ED86" s="25"/>
      <c r="EE86" s="25"/>
      <c r="EF86" s="25"/>
      <c r="EG86" s="25"/>
      <c r="EH86" s="25"/>
      <c r="EI86" s="25"/>
      <c r="EJ86" s="25"/>
      <c r="EK86" s="25"/>
      <c r="EL86" s="25"/>
      <c r="EM86" s="25"/>
      <c r="EN86" s="25"/>
      <c r="EO86" s="25"/>
      <c r="EP86" s="25"/>
      <c r="EQ86" s="25"/>
      <c r="ER86" s="25"/>
      <c r="ES86" s="25"/>
      <c r="ET86" s="25"/>
      <c r="EU86" s="25"/>
      <c r="EV86" s="25"/>
      <c r="EW86" s="25"/>
    </row>
    <row r="87" spans="1:153" ht="17.25" customHeight="1" x14ac:dyDescent="0.25">
      <c r="A87" s="25" t="s">
        <v>196</v>
      </c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5"/>
      <c r="AV87" s="25"/>
      <c r="AW87" s="25"/>
      <c r="AX87" s="25"/>
      <c r="AY87" s="25"/>
      <c r="AZ87" s="25"/>
      <c r="BA87" s="25"/>
      <c r="BB87" s="25"/>
      <c r="BC87" s="25"/>
      <c r="BD87" s="25"/>
      <c r="BE87" s="25"/>
      <c r="BF87" s="25"/>
      <c r="BG87" s="25"/>
      <c r="BH87" s="25"/>
      <c r="BI87" s="25"/>
      <c r="BJ87" s="25"/>
      <c r="BK87" s="25"/>
      <c r="BL87" s="25"/>
      <c r="BM87" s="25"/>
      <c r="BN87" s="25"/>
      <c r="BO87" s="25"/>
      <c r="BP87" s="25"/>
      <c r="BQ87" s="25"/>
      <c r="BR87" s="25"/>
      <c r="BS87" s="25"/>
      <c r="BT87" s="25"/>
      <c r="BU87" s="25"/>
      <c r="BV87" s="25"/>
      <c r="BW87" s="25"/>
      <c r="BX87" s="25"/>
      <c r="BY87" s="25"/>
      <c r="BZ87" s="25"/>
      <c r="CA87" s="25"/>
      <c r="CB87" s="25"/>
      <c r="CC87" s="25"/>
      <c r="CD87" s="25"/>
      <c r="CE87" s="25"/>
      <c r="CF87" s="25"/>
      <c r="CG87" s="25"/>
      <c r="CH87" s="25"/>
      <c r="CI87" s="25"/>
      <c r="CJ87" s="25"/>
      <c r="CK87" s="25"/>
      <c r="CL87" s="25"/>
      <c r="CM87" s="25"/>
      <c r="CN87" s="25"/>
      <c r="CO87" s="25"/>
      <c r="CP87" s="25"/>
      <c r="CQ87" s="25"/>
      <c r="CR87" s="25"/>
      <c r="CS87" s="25"/>
      <c r="CT87" s="25"/>
      <c r="CU87" s="25"/>
      <c r="CV87" s="25"/>
      <c r="CW87" s="25"/>
      <c r="CX87" s="25"/>
      <c r="CY87" s="25"/>
      <c r="CZ87" s="25"/>
      <c r="DA87" s="25"/>
      <c r="DB87" s="25"/>
      <c r="DC87" s="25"/>
      <c r="DD87" s="25"/>
      <c r="DE87" s="25"/>
      <c r="DF87" s="25"/>
      <c r="DG87" s="25"/>
      <c r="DH87" s="25"/>
      <c r="DI87" s="25"/>
      <c r="DJ87" s="25"/>
      <c r="DK87" s="25"/>
      <c r="DL87" s="25"/>
      <c r="DM87" s="25"/>
      <c r="DN87" s="25"/>
      <c r="DO87" s="25"/>
      <c r="DP87" s="25"/>
      <c r="DQ87" s="25"/>
      <c r="DR87" s="25"/>
      <c r="DS87" s="25"/>
      <c r="DT87" s="25"/>
      <c r="DU87" s="25"/>
      <c r="DV87" s="25"/>
      <c r="DW87" s="25"/>
      <c r="DX87" s="25"/>
      <c r="DY87" s="25"/>
      <c r="DZ87" s="25"/>
      <c r="EA87" s="25"/>
      <c r="EB87" s="25"/>
      <c r="EC87" s="25"/>
      <c r="ED87" s="25"/>
      <c r="EE87" s="25"/>
      <c r="EF87" s="25"/>
      <c r="EG87" s="25"/>
      <c r="EH87" s="25"/>
      <c r="EI87" s="25"/>
      <c r="EJ87" s="25"/>
      <c r="EK87" s="25"/>
      <c r="EL87" s="25"/>
      <c r="EM87" s="25"/>
      <c r="EN87" s="25"/>
      <c r="EO87" s="25"/>
      <c r="EP87" s="25"/>
      <c r="EQ87" s="25"/>
      <c r="ER87" s="25"/>
      <c r="ES87" s="25"/>
      <c r="ET87" s="25"/>
      <c r="EU87" s="25"/>
      <c r="EV87" s="25"/>
      <c r="EW87" s="25"/>
    </row>
    <row r="88" spans="1:153" ht="17.25" customHeight="1" x14ac:dyDescent="0.25">
      <c r="A88" s="25" t="s">
        <v>111</v>
      </c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5"/>
      <c r="AV88" s="25"/>
      <c r="AW88" s="25"/>
      <c r="AX88" s="25"/>
      <c r="AY88" s="25"/>
      <c r="AZ88" s="25"/>
      <c r="BA88" s="25"/>
      <c r="BB88" s="25"/>
      <c r="BC88" s="25"/>
      <c r="BD88" s="25"/>
      <c r="BE88" s="25"/>
      <c r="BF88" s="25"/>
      <c r="BG88" s="25"/>
      <c r="BH88" s="25"/>
      <c r="BI88" s="25"/>
      <c r="BJ88" s="25"/>
      <c r="BK88" s="25"/>
      <c r="BL88" s="25"/>
      <c r="BM88" s="25"/>
      <c r="BN88" s="25"/>
      <c r="BO88" s="25"/>
      <c r="BP88" s="25"/>
      <c r="BQ88" s="25"/>
      <c r="BR88" s="25"/>
      <c r="BS88" s="25"/>
      <c r="BT88" s="25"/>
      <c r="BU88" s="25"/>
      <c r="BV88" s="25"/>
      <c r="BW88" s="25"/>
      <c r="BX88" s="25"/>
      <c r="BY88" s="25"/>
      <c r="BZ88" s="25"/>
      <c r="CA88" s="25"/>
      <c r="CB88" s="25"/>
      <c r="CC88" s="25"/>
      <c r="CD88" s="25"/>
      <c r="CE88" s="25"/>
      <c r="CF88" s="25"/>
      <c r="CG88" s="25"/>
      <c r="CH88" s="25"/>
      <c r="CI88" s="25"/>
      <c r="CJ88" s="25"/>
      <c r="CK88" s="25"/>
      <c r="CL88" s="25"/>
      <c r="CM88" s="25"/>
      <c r="CN88" s="25"/>
      <c r="CO88" s="25"/>
      <c r="CP88" s="25"/>
      <c r="CQ88" s="25"/>
      <c r="CR88" s="25"/>
      <c r="CS88" s="25"/>
      <c r="CT88" s="25"/>
      <c r="CU88" s="25"/>
      <c r="CV88" s="25"/>
      <c r="CW88" s="25"/>
      <c r="CX88" s="25"/>
      <c r="CY88" s="25"/>
      <c r="CZ88" s="25"/>
      <c r="DA88" s="25"/>
      <c r="DB88" s="25"/>
      <c r="DC88" s="25"/>
      <c r="DD88" s="25"/>
      <c r="DE88" s="25"/>
      <c r="DF88" s="25"/>
      <c r="DG88" s="25"/>
      <c r="DH88" s="25"/>
      <c r="DI88" s="25"/>
      <c r="DJ88" s="25"/>
      <c r="DK88" s="25"/>
      <c r="DL88" s="25"/>
      <c r="DM88" s="25"/>
      <c r="DN88" s="25"/>
      <c r="DO88" s="25"/>
      <c r="DP88" s="25"/>
      <c r="DQ88" s="25"/>
      <c r="DR88" s="25"/>
      <c r="DS88" s="25"/>
      <c r="DT88" s="25"/>
      <c r="DU88" s="25"/>
      <c r="DV88" s="25"/>
      <c r="DW88" s="25"/>
      <c r="DX88" s="25"/>
      <c r="DY88" s="25"/>
      <c r="DZ88" s="25"/>
      <c r="EA88" s="25"/>
      <c r="EB88" s="25"/>
      <c r="EC88" s="25"/>
      <c r="ED88" s="25"/>
      <c r="EE88" s="25"/>
      <c r="EF88" s="25"/>
      <c r="EG88" s="25"/>
      <c r="EH88" s="25"/>
      <c r="EI88" s="25"/>
      <c r="EJ88" s="25"/>
      <c r="EK88" s="25"/>
      <c r="EL88" s="25"/>
      <c r="EM88" s="25"/>
      <c r="EN88" s="25"/>
      <c r="EO88" s="25"/>
      <c r="EP88" s="25"/>
      <c r="EQ88" s="25"/>
      <c r="ER88" s="25"/>
      <c r="ES88" s="25"/>
      <c r="ET88" s="25"/>
      <c r="EU88" s="25"/>
      <c r="EV88" s="25"/>
      <c r="EW88" s="25"/>
    </row>
    <row r="89" spans="1:153" ht="17.25" customHeight="1" x14ac:dyDescent="0.25">
      <c r="A89" s="25" t="s">
        <v>197</v>
      </c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  <c r="BC89" s="25"/>
      <c r="BD89" s="25"/>
      <c r="BE89" s="25"/>
      <c r="BF89" s="25"/>
      <c r="BG89" s="25"/>
      <c r="BH89" s="25"/>
      <c r="BI89" s="25"/>
      <c r="BJ89" s="25"/>
      <c r="BK89" s="25"/>
      <c r="BL89" s="25"/>
      <c r="BM89" s="25"/>
      <c r="BN89" s="25"/>
      <c r="BO89" s="25"/>
      <c r="BP89" s="25"/>
      <c r="BQ89" s="25"/>
      <c r="BR89" s="25"/>
      <c r="BS89" s="25"/>
      <c r="BT89" s="25"/>
      <c r="BU89" s="25"/>
      <c r="BV89" s="25"/>
      <c r="BW89" s="25"/>
      <c r="BX89" s="25"/>
      <c r="BY89" s="25"/>
      <c r="BZ89" s="25"/>
      <c r="CA89" s="25"/>
      <c r="CB89" s="25"/>
      <c r="CC89" s="25"/>
      <c r="CD89" s="25"/>
      <c r="CE89" s="25"/>
      <c r="CF89" s="25"/>
      <c r="CG89" s="25"/>
      <c r="CH89" s="25"/>
      <c r="CI89" s="25"/>
      <c r="CJ89" s="25"/>
      <c r="CK89" s="25"/>
      <c r="CL89" s="25"/>
      <c r="CM89" s="25"/>
      <c r="CN89" s="25"/>
      <c r="CO89" s="25"/>
      <c r="CP89" s="25"/>
      <c r="CQ89" s="25"/>
      <c r="CR89" s="25"/>
      <c r="CS89" s="25"/>
      <c r="CT89" s="25"/>
      <c r="CU89" s="25"/>
      <c r="CV89" s="25"/>
      <c r="CW89" s="25"/>
      <c r="CX89" s="25"/>
      <c r="CY89" s="25"/>
      <c r="CZ89" s="25"/>
      <c r="DA89" s="25"/>
      <c r="DB89" s="25"/>
      <c r="DC89" s="25"/>
      <c r="DD89" s="25"/>
      <c r="DE89" s="25"/>
      <c r="DF89" s="25"/>
      <c r="DG89" s="25"/>
      <c r="DH89" s="25"/>
      <c r="DI89" s="25"/>
      <c r="DJ89" s="25"/>
      <c r="DK89" s="25"/>
      <c r="DL89" s="25"/>
      <c r="DM89" s="25"/>
      <c r="DN89" s="25"/>
      <c r="DO89" s="25"/>
      <c r="DP89" s="25"/>
      <c r="DQ89" s="25"/>
      <c r="DR89" s="25"/>
      <c r="DS89" s="25"/>
      <c r="DT89" s="25"/>
      <c r="DU89" s="25"/>
      <c r="DV89" s="25"/>
      <c r="DW89" s="25"/>
      <c r="DX89" s="25"/>
      <c r="DY89" s="25"/>
      <c r="DZ89" s="25"/>
      <c r="EA89" s="25"/>
      <c r="EB89" s="25"/>
      <c r="EC89" s="25"/>
      <c r="ED89" s="25"/>
      <c r="EE89" s="25"/>
      <c r="EF89" s="25"/>
      <c r="EG89" s="25"/>
      <c r="EH89" s="25"/>
      <c r="EI89" s="25"/>
      <c r="EJ89" s="25"/>
      <c r="EK89" s="25"/>
      <c r="EL89" s="25"/>
      <c r="EM89" s="25"/>
      <c r="EN89" s="25"/>
      <c r="EO89" s="25"/>
      <c r="EP89" s="25"/>
      <c r="EQ89" s="25"/>
      <c r="ER89" s="25"/>
      <c r="ES89" s="25"/>
      <c r="ET89" s="25"/>
      <c r="EU89" s="25"/>
      <c r="EV89" s="25"/>
      <c r="EW89" s="25"/>
    </row>
    <row r="90" spans="1:153" ht="17.25" customHeight="1" x14ac:dyDescent="0.25">
      <c r="A90" s="25" t="s">
        <v>198</v>
      </c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5"/>
      <c r="AV90" s="25"/>
      <c r="AW90" s="25"/>
      <c r="AX90" s="25"/>
      <c r="AY90" s="25"/>
      <c r="AZ90" s="25"/>
      <c r="BA90" s="25"/>
      <c r="BB90" s="25"/>
      <c r="BC90" s="25"/>
      <c r="BD90" s="25"/>
      <c r="BE90" s="25"/>
      <c r="BF90" s="25"/>
      <c r="BG90" s="25"/>
      <c r="BH90" s="25"/>
      <c r="BI90" s="25"/>
      <c r="BJ90" s="25"/>
      <c r="BK90" s="25"/>
      <c r="BL90" s="25"/>
      <c r="BM90" s="25"/>
      <c r="BN90" s="25"/>
      <c r="BO90" s="25"/>
      <c r="BP90" s="25"/>
      <c r="BQ90" s="25"/>
      <c r="BR90" s="25"/>
      <c r="BS90" s="25"/>
      <c r="BT90" s="25"/>
      <c r="BU90" s="25"/>
      <c r="BV90" s="25"/>
      <c r="BW90" s="25"/>
      <c r="BX90" s="25"/>
      <c r="BY90" s="25"/>
      <c r="BZ90" s="25"/>
      <c r="CA90" s="25"/>
      <c r="CB90" s="25"/>
      <c r="CC90" s="25"/>
      <c r="CD90" s="25"/>
      <c r="CE90" s="25"/>
      <c r="CF90" s="25"/>
      <c r="CG90" s="25"/>
      <c r="CH90" s="25"/>
      <c r="CI90" s="25"/>
      <c r="CJ90" s="25"/>
      <c r="CK90" s="25"/>
      <c r="CL90" s="25"/>
      <c r="CM90" s="25"/>
      <c r="CN90" s="25"/>
      <c r="CO90" s="25"/>
      <c r="CP90" s="25"/>
      <c r="CQ90" s="25"/>
      <c r="CR90" s="25"/>
      <c r="CS90" s="25"/>
      <c r="CT90" s="25"/>
      <c r="CU90" s="25"/>
      <c r="CV90" s="25"/>
      <c r="CW90" s="25"/>
      <c r="CX90" s="25"/>
      <c r="CY90" s="25"/>
      <c r="CZ90" s="25"/>
      <c r="DA90" s="25"/>
      <c r="DB90" s="25"/>
      <c r="DC90" s="25"/>
      <c r="DD90" s="25"/>
      <c r="DE90" s="25"/>
      <c r="DF90" s="25"/>
      <c r="DG90" s="25"/>
      <c r="DH90" s="25"/>
      <c r="DI90" s="25"/>
      <c r="DJ90" s="25"/>
      <c r="DK90" s="25"/>
      <c r="DL90" s="25"/>
      <c r="DM90" s="25"/>
      <c r="DN90" s="25"/>
      <c r="DO90" s="25"/>
      <c r="DP90" s="25"/>
      <c r="DQ90" s="25"/>
      <c r="DR90" s="25"/>
      <c r="DS90" s="25"/>
      <c r="DT90" s="25"/>
      <c r="DU90" s="25"/>
      <c r="DV90" s="25"/>
      <c r="DW90" s="25"/>
      <c r="DX90" s="25"/>
      <c r="DY90" s="25"/>
      <c r="DZ90" s="25"/>
      <c r="EA90" s="25"/>
      <c r="EB90" s="25"/>
      <c r="EC90" s="25"/>
      <c r="ED90" s="25"/>
      <c r="EE90" s="25"/>
      <c r="EF90" s="25"/>
      <c r="EG90" s="25"/>
      <c r="EH90" s="25"/>
      <c r="EI90" s="25"/>
      <c r="EJ90" s="25"/>
      <c r="EK90" s="25"/>
      <c r="EL90" s="25"/>
      <c r="EM90" s="25"/>
      <c r="EN90" s="25"/>
      <c r="EO90" s="25"/>
      <c r="EP90" s="25"/>
      <c r="EQ90" s="25"/>
      <c r="ER90" s="25"/>
      <c r="ES90" s="25"/>
      <c r="ET90" s="25"/>
      <c r="EU90" s="25"/>
      <c r="EV90" s="25"/>
      <c r="EW90" s="25"/>
    </row>
    <row r="91" spans="1:153" ht="17.25" customHeight="1" x14ac:dyDescent="0.25">
      <c r="A91" s="25" t="s">
        <v>199</v>
      </c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5"/>
      <c r="AV91" s="25"/>
      <c r="AW91" s="25"/>
      <c r="AX91" s="25"/>
      <c r="AY91" s="25"/>
      <c r="AZ91" s="25"/>
      <c r="BA91" s="25"/>
      <c r="BB91" s="25"/>
      <c r="BC91" s="25"/>
      <c r="BD91" s="25"/>
      <c r="BE91" s="25"/>
      <c r="BF91" s="25"/>
      <c r="BG91" s="25"/>
      <c r="BH91" s="25"/>
      <c r="BI91" s="25"/>
      <c r="BJ91" s="25"/>
      <c r="BK91" s="25"/>
      <c r="BL91" s="25"/>
      <c r="BM91" s="25"/>
      <c r="BN91" s="25"/>
      <c r="BO91" s="25"/>
      <c r="BP91" s="25"/>
      <c r="BQ91" s="25"/>
      <c r="BR91" s="25"/>
      <c r="BS91" s="25"/>
      <c r="BT91" s="25"/>
      <c r="BU91" s="25"/>
      <c r="BV91" s="25"/>
      <c r="BW91" s="25"/>
      <c r="BX91" s="25"/>
      <c r="BY91" s="25"/>
      <c r="BZ91" s="25"/>
      <c r="CA91" s="25"/>
      <c r="CB91" s="25"/>
      <c r="CC91" s="25"/>
      <c r="CD91" s="25"/>
      <c r="CE91" s="25"/>
      <c r="CF91" s="25"/>
      <c r="CG91" s="25"/>
      <c r="CH91" s="25"/>
      <c r="CI91" s="25"/>
      <c r="CJ91" s="25"/>
      <c r="CK91" s="25"/>
      <c r="CL91" s="25"/>
      <c r="CM91" s="25"/>
      <c r="CN91" s="25"/>
      <c r="CO91" s="25"/>
      <c r="CP91" s="25"/>
      <c r="CQ91" s="25"/>
      <c r="CR91" s="25"/>
      <c r="CS91" s="25"/>
      <c r="CT91" s="25"/>
      <c r="CU91" s="25"/>
      <c r="CV91" s="25"/>
      <c r="CW91" s="25"/>
      <c r="CX91" s="25"/>
      <c r="CY91" s="25"/>
      <c r="CZ91" s="25"/>
      <c r="DA91" s="25"/>
      <c r="DB91" s="25"/>
      <c r="DC91" s="25"/>
      <c r="DD91" s="25"/>
      <c r="DE91" s="25"/>
      <c r="DF91" s="25"/>
      <c r="DG91" s="25"/>
      <c r="DH91" s="25"/>
      <c r="DI91" s="25"/>
      <c r="DJ91" s="25"/>
      <c r="DK91" s="25"/>
      <c r="DL91" s="25"/>
      <c r="DM91" s="25"/>
      <c r="DN91" s="25"/>
      <c r="DO91" s="25"/>
      <c r="DP91" s="25"/>
      <c r="DQ91" s="25"/>
      <c r="DR91" s="25"/>
      <c r="DS91" s="25"/>
      <c r="DT91" s="25"/>
      <c r="DU91" s="25"/>
      <c r="DV91" s="25"/>
      <c r="DW91" s="25"/>
      <c r="DX91" s="25"/>
      <c r="DY91" s="25"/>
      <c r="DZ91" s="25"/>
      <c r="EA91" s="25"/>
      <c r="EB91" s="25"/>
      <c r="EC91" s="25"/>
      <c r="ED91" s="25"/>
      <c r="EE91" s="25"/>
      <c r="EF91" s="25"/>
      <c r="EG91" s="25"/>
      <c r="EH91" s="25"/>
      <c r="EI91" s="25"/>
      <c r="EJ91" s="25"/>
      <c r="EK91" s="25"/>
      <c r="EL91" s="25"/>
      <c r="EM91" s="25"/>
      <c r="EN91" s="25"/>
      <c r="EO91" s="25"/>
      <c r="EP91" s="25"/>
      <c r="EQ91" s="25"/>
      <c r="ER91" s="25"/>
      <c r="ES91" s="25"/>
      <c r="ET91" s="25"/>
      <c r="EU91" s="25"/>
      <c r="EV91" s="25"/>
      <c r="EW91" s="25"/>
    </row>
    <row r="92" spans="1:153" ht="17.25" customHeight="1" x14ac:dyDescent="0.25">
      <c r="A92" s="25" t="s">
        <v>200</v>
      </c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  <c r="BC92" s="25"/>
      <c r="BD92" s="25"/>
      <c r="BE92" s="25"/>
      <c r="BF92" s="25"/>
      <c r="BG92" s="25"/>
      <c r="BH92" s="25"/>
      <c r="BI92" s="25"/>
      <c r="BJ92" s="25"/>
      <c r="BK92" s="25"/>
      <c r="BL92" s="25"/>
      <c r="BM92" s="25"/>
      <c r="BN92" s="25"/>
      <c r="BO92" s="25"/>
      <c r="BP92" s="25"/>
      <c r="BQ92" s="25"/>
      <c r="BR92" s="25"/>
      <c r="BS92" s="25"/>
      <c r="BT92" s="25"/>
      <c r="BU92" s="25"/>
      <c r="BV92" s="25"/>
      <c r="BW92" s="25"/>
      <c r="BX92" s="25"/>
      <c r="BY92" s="25"/>
      <c r="BZ92" s="25"/>
      <c r="CA92" s="25"/>
      <c r="CB92" s="25"/>
      <c r="CC92" s="25"/>
      <c r="CD92" s="25"/>
      <c r="CE92" s="25"/>
      <c r="CF92" s="25"/>
      <c r="CG92" s="25"/>
      <c r="CH92" s="25"/>
      <c r="CI92" s="25"/>
      <c r="CJ92" s="25"/>
      <c r="CK92" s="25"/>
      <c r="CL92" s="25"/>
      <c r="CM92" s="25"/>
      <c r="CN92" s="25"/>
      <c r="CO92" s="25"/>
      <c r="CP92" s="25"/>
      <c r="CQ92" s="25"/>
      <c r="CR92" s="25"/>
      <c r="CS92" s="25"/>
      <c r="CT92" s="25"/>
      <c r="CU92" s="25"/>
      <c r="CV92" s="25"/>
      <c r="CW92" s="25"/>
      <c r="CX92" s="25"/>
      <c r="CY92" s="25"/>
      <c r="CZ92" s="25"/>
      <c r="DA92" s="25"/>
      <c r="DB92" s="25"/>
      <c r="DC92" s="25"/>
      <c r="DD92" s="25"/>
      <c r="DE92" s="25"/>
      <c r="DF92" s="25"/>
      <c r="DG92" s="25"/>
      <c r="DH92" s="25"/>
      <c r="DI92" s="25"/>
      <c r="DJ92" s="25"/>
      <c r="DK92" s="25"/>
      <c r="DL92" s="25"/>
      <c r="DM92" s="25"/>
      <c r="DN92" s="25"/>
      <c r="DO92" s="25"/>
      <c r="DP92" s="25"/>
      <c r="DQ92" s="25"/>
      <c r="DR92" s="25"/>
      <c r="DS92" s="25"/>
      <c r="DT92" s="25"/>
      <c r="DU92" s="25"/>
      <c r="DV92" s="25"/>
      <c r="DW92" s="25"/>
      <c r="DX92" s="25"/>
      <c r="DY92" s="25"/>
      <c r="DZ92" s="25"/>
      <c r="EA92" s="25"/>
      <c r="EB92" s="25"/>
      <c r="EC92" s="25"/>
      <c r="ED92" s="25"/>
      <c r="EE92" s="25"/>
      <c r="EF92" s="25"/>
      <c r="EG92" s="25"/>
      <c r="EH92" s="25"/>
      <c r="EI92" s="25"/>
      <c r="EJ92" s="25"/>
      <c r="EK92" s="25"/>
      <c r="EL92" s="25"/>
      <c r="EM92" s="25"/>
      <c r="EN92" s="25"/>
      <c r="EO92" s="25"/>
      <c r="EP92" s="25"/>
      <c r="EQ92" s="25"/>
      <c r="ER92" s="25"/>
      <c r="ES92" s="25"/>
      <c r="ET92" s="25"/>
      <c r="EU92" s="25"/>
      <c r="EV92" s="25"/>
      <c r="EW92" s="25"/>
    </row>
    <row r="93" spans="1:153" ht="17.25" customHeight="1" x14ac:dyDescent="0.25">
      <c r="A93" s="25" t="s">
        <v>112</v>
      </c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5"/>
      <c r="AV93" s="25"/>
      <c r="AW93" s="25"/>
      <c r="AX93" s="25"/>
      <c r="AY93" s="25"/>
      <c r="AZ93" s="25"/>
      <c r="BA93" s="25"/>
      <c r="BB93" s="25"/>
      <c r="BC93" s="25"/>
      <c r="BD93" s="25"/>
      <c r="BE93" s="25"/>
      <c r="BF93" s="25"/>
      <c r="BG93" s="25"/>
      <c r="BH93" s="25"/>
      <c r="BI93" s="25"/>
      <c r="BJ93" s="25"/>
      <c r="BK93" s="25"/>
      <c r="BL93" s="25"/>
      <c r="BM93" s="25"/>
      <c r="BN93" s="25"/>
      <c r="BO93" s="25"/>
      <c r="BP93" s="25"/>
      <c r="BQ93" s="25"/>
      <c r="BR93" s="25"/>
      <c r="BS93" s="25"/>
      <c r="BT93" s="25"/>
      <c r="BU93" s="25"/>
      <c r="BV93" s="25"/>
      <c r="BW93" s="25"/>
      <c r="BX93" s="25"/>
      <c r="BY93" s="25"/>
      <c r="BZ93" s="25"/>
      <c r="CA93" s="25"/>
      <c r="CB93" s="25"/>
      <c r="CC93" s="25"/>
      <c r="CD93" s="25"/>
      <c r="CE93" s="25"/>
      <c r="CF93" s="25"/>
      <c r="CG93" s="25"/>
      <c r="CH93" s="25"/>
      <c r="CI93" s="25"/>
      <c r="CJ93" s="25"/>
      <c r="CK93" s="25"/>
      <c r="CL93" s="25"/>
      <c r="CM93" s="25"/>
      <c r="CN93" s="25"/>
      <c r="CO93" s="25"/>
      <c r="CP93" s="25"/>
      <c r="CQ93" s="25"/>
      <c r="CR93" s="25"/>
      <c r="CS93" s="25"/>
      <c r="CT93" s="25"/>
      <c r="CU93" s="25"/>
      <c r="CV93" s="25"/>
      <c r="CW93" s="25"/>
      <c r="CX93" s="25"/>
      <c r="CY93" s="25"/>
      <c r="CZ93" s="25"/>
      <c r="DA93" s="25"/>
      <c r="DB93" s="25"/>
      <c r="DC93" s="25"/>
      <c r="DD93" s="25"/>
      <c r="DE93" s="25"/>
      <c r="DF93" s="25"/>
      <c r="DG93" s="25"/>
      <c r="DH93" s="25"/>
      <c r="DI93" s="25"/>
      <c r="DJ93" s="25"/>
      <c r="DK93" s="25"/>
      <c r="DL93" s="25"/>
      <c r="DM93" s="25"/>
      <c r="DN93" s="25"/>
      <c r="DO93" s="25"/>
      <c r="DP93" s="25"/>
      <c r="DQ93" s="25"/>
      <c r="DR93" s="25"/>
      <c r="DS93" s="25"/>
      <c r="DT93" s="25"/>
      <c r="DU93" s="25"/>
      <c r="DV93" s="25"/>
      <c r="DW93" s="25"/>
      <c r="DX93" s="25"/>
      <c r="DY93" s="25"/>
      <c r="DZ93" s="25"/>
      <c r="EA93" s="25"/>
      <c r="EB93" s="25"/>
      <c r="EC93" s="25"/>
      <c r="ED93" s="25"/>
      <c r="EE93" s="25"/>
      <c r="EF93" s="25"/>
      <c r="EG93" s="25"/>
      <c r="EH93" s="25"/>
      <c r="EI93" s="25"/>
      <c r="EJ93" s="25"/>
      <c r="EK93" s="25"/>
      <c r="EL93" s="25"/>
      <c r="EM93" s="25"/>
      <c r="EN93" s="25"/>
      <c r="EO93" s="25"/>
      <c r="EP93" s="25"/>
      <c r="EQ93" s="25"/>
      <c r="ER93" s="25"/>
      <c r="ES93" s="25"/>
      <c r="ET93" s="25"/>
      <c r="EU93" s="25"/>
      <c r="EV93" s="25"/>
      <c r="EW93" s="25"/>
    </row>
    <row r="94" spans="1:153" ht="17.25" customHeight="1" x14ac:dyDescent="0.25">
      <c r="A94" s="25" t="s">
        <v>201</v>
      </c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  <c r="AX94" s="25"/>
      <c r="AY94" s="25"/>
      <c r="AZ94" s="25"/>
      <c r="BA94" s="25"/>
      <c r="BB94" s="25"/>
      <c r="BC94" s="25"/>
      <c r="BD94" s="25"/>
      <c r="BE94" s="25"/>
      <c r="BF94" s="25"/>
      <c r="BG94" s="25"/>
      <c r="BH94" s="25"/>
      <c r="BI94" s="25"/>
      <c r="BJ94" s="25"/>
      <c r="BK94" s="25"/>
      <c r="BL94" s="25"/>
      <c r="BM94" s="25"/>
      <c r="BN94" s="25"/>
      <c r="BO94" s="25"/>
      <c r="BP94" s="25"/>
      <c r="BQ94" s="25"/>
      <c r="BR94" s="25"/>
      <c r="BS94" s="25"/>
      <c r="BT94" s="25"/>
      <c r="BU94" s="25"/>
      <c r="BV94" s="25"/>
      <c r="BW94" s="25"/>
      <c r="BX94" s="25"/>
      <c r="BY94" s="25"/>
      <c r="BZ94" s="25"/>
      <c r="CA94" s="25"/>
      <c r="CB94" s="25"/>
      <c r="CC94" s="25"/>
      <c r="CD94" s="25"/>
      <c r="CE94" s="25"/>
      <c r="CF94" s="25"/>
      <c r="CG94" s="25"/>
      <c r="CH94" s="25"/>
      <c r="CI94" s="25"/>
      <c r="CJ94" s="25"/>
      <c r="CK94" s="25"/>
      <c r="CL94" s="25"/>
      <c r="CM94" s="25"/>
      <c r="CN94" s="25"/>
      <c r="CO94" s="25"/>
      <c r="CP94" s="25"/>
      <c r="CQ94" s="25"/>
      <c r="CR94" s="25"/>
      <c r="CS94" s="25"/>
      <c r="CT94" s="25"/>
      <c r="CU94" s="25"/>
      <c r="CV94" s="25"/>
      <c r="CW94" s="25"/>
      <c r="CX94" s="25"/>
      <c r="CY94" s="25"/>
      <c r="CZ94" s="25"/>
      <c r="DA94" s="25"/>
      <c r="DB94" s="25"/>
      <c r="DC94" s="25"/>
      <c r="DD94" s="25"/>
      <c r="DE94" s="25"/>
      <c r="DF94" s="25"/>
      <c r="DG94" s="25"/>
      <c r="DH94" s="25"/>
      <c r="DI94" s="25"/>
      <c r="DJ94" s="25"/>
      <c r="DK94" s="25"/>
      <c r="DL94" s="25"/>
      <c r="DM94" s="25"/>
      <c r="DN94" s="25"/>
      <c r="DO94" s="25"/>
      <c r="DP94" s="25"/>
      <c r="DQ94" s="25"/>
      <c r="DR94" s="25"/>
      <c r="DS94" s="25"/>
      <c r="DT94" s="25"/>
      <c r="DU94" s="25"/>
      <c r="DV94" s="25"/>
      <c r="DW94" s="25"/>
      <c r="DX94" s="25"/>
      <c r="DY94" s="25"/>
      <c r="DZ94" s="25"/>
      <c r="EA94" s="25"/>
      <c r="EB94" s="25"/>
      <c r="EC94" s="25"/>
      <c r="ED94" s="25"/>
      <c r="EE94" s="25"/>
      <c r="EF94" s="25"/>
      <c r="EG94" s="25"/>
      <c r="EH94" s="25"/>
      <c r="EI94" s="25"/>
      <c r="EJ94" s="25"/>
      <c r="EK94" s="25"/>
      <c r="EL94" s="25"/>
      <c r="EM94" s="25"/>
      <c r="EN94" s="25"/>
      <c r="EO94" s="25"/>
      <c r="EP94" s="25"/>
      <c r="EQ94" s="25"/>
      <c r="ER94" s="25"/>
      <c r="ES94" s="25"/>
      <c r="ET94" s="25"/>
      <c r="EU94" s="25"/>
      <c r="EV94" s="25"/>
      <c r="EW94" s="25"/>
    </row>
    <row r="95" spans="1:153" ht="17.25" customHeight="1" x14ac:dyDescent="0.25">
      <c r="A95" s="25" t="s">
        <v>202</v>
      </c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  <c r="BC95" s="25"/>
      <c r="BD95" s="25"/>
      <c r="BE95" s="25"/>
      <c r="BF95" s="25"/>
      <c r="BG95" s="25"/>
      <c r="BH95" s="25"/>
      <c r="BI95" s="25"/>
      <c r="BJ95" s="25"/>
      <c r="BK95" s="25"/>
      <c r="BL95" s="25"/>
      <c r="BM95" s="25"/>
      <c r="BN95" s="25"/>
      <c r="BO95" s="25"/>
      <c r="BP95" s="25"/>
      <c r="BQ95" s="25"/>
      <c r="BR95" s="25"/>
      <c r="BS95" s="25"/>
      <c r="BT95" s="25"/>
      <c r="BU95" s="25"/>
      <c r="BV95" s="25"/>
      <c r="BW95" s="25"/>
      <c r="BX95" s="25"/>
      <c r="BY95" s="25"/>
      <c r="BZ95" s="25"/>
      <c r="CA95" s="25"/>
      <c r="CB95" s="25"/>
      <c r="CC95" s="25"/>
      <c r="CD95" s="25"/>
      <c r="CE95" s="25"/>
      <c r="CF95" s="25"/>
      <c r="CG95" s="25"/>
      <c r="CH95" s="25"/>
      <c r="CI95" s="25"/>
      <c r="CJ95" s="25"/>
      <c r="CK95" s="25"/>
      <c r="CL95" s="25"/>
      <c r="CM95" s="25"/>
      <c r="CN95" s="25"/>
      <c r="CO95" s="25"/>
      <c r="CP95" s="25"/>
      <c r="CQ95" s="25"/>
      <c r="CR95" s="25"/>
      <c r="CS95" s="25"/>
      <c r="CT95" s="25"/>
      <c r="CU95" s="25"/>
      <c r="CV95" s="25"/>
      <c r="CW95" s="25"/>
      <c r="CX95" s="25"/>
      <c r="CY95" s="25"/>
      <c r="CZ95" s="25"/>
      <c r="DA95" s="25"/>
      <c r="DB95" s="25"/>
      <c r="DC95" s="25"/>
      <c r="DD95" s="25"/>
      <c r="DE95" s="25"/>
      <c r="DF95" s="25"/>
      <c r="DG95" s="25"/>
      <c r="DH95" s="25"/>
      <c r="DI95" s="25"/>
      <c r="DJ95" s="25"/>
      <c r="DK95" s="25"/>
      <c r="DL95" s="25"/>
      <c r="DM95" s="25"/>
      <c r="DN95" s="25"/>
      <c r="DO95" s="25"/>
      <c r="DP95" s="25"/>
      <c r="DQ95" s="25"/>
      <c r="DR95" s="25"/>
      <c r="DS95" s="25"/>
      <c r="DT95" s="25"/>
      <c r="DU95" s="25"/>
      <c r="DV95" s="25"/>
      <c r="DW95" s="25"/>
      <c r="DX95" s="25"/>
      <c r="DY95" s="25"/>
      <c r="DZ95" s="25"/>
      <c r="EA95" s="25"/>
      <c r="EB95" s="25"/>
      <c r="EC95" s="25"/>
      <c r="ED95" s="25"/>
      <c r="EE95" s="25"/>
      <c r="EF95" s="25"/>
      <c r="EG95" s="25"/>
      <c r="EH95" s="25"/>
      <c r="EI95" s="25"/>
      <c r="EJ95" s="25"/>
      <c r="EK95" s="25"/>
      <c r="EL95" s="25"/>
      <c r="EM95" s="25"/>
      <c r="EN95" s="25"/>
      <c r="EO95" s="25"/>
      <c r="EP95" s="25"/>
      <c r="EQ95" s="25"/>
      <c r="ER95" s="25"/>
      <c r="ES95" s="25"/>
      <c r="ET95" s="25"/>
      <c r="EU95" s="25"/>
      <c r="EV95" s="25"/>
      <c r="EW95" s="25"/>
    </row>
    <row r="96" spans="1:153" ht="17.25" customHeight="1" x14ac:dyDescent="0.25">
      <c r="A96" s="25" t="s">
        <v>203</v>
      </c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5"/>
      <c r="AV96" s="25"/>
      <c r="AW96" s="25"/>
      <c r="AX96" s="25"/>
      <c r="AY96" s="25"/>
      <c r="AZ96" s="25"/>
      <c r="BA96" s="25"/>
      <c r="BB96" s="25"/>
      <c r="BC96" s="25"/>
      <c r="BD96" s="25"/>
      <c r="BE96" s="25"/>
      <c r="BF96" s="25"/>
      <c r="BG96" s="25"/>
      <c r="BH96" s="25"/>
      <c r="BI96" s="25"/>
      <c r="BJ96" s="25"/>
      <c r="BK96" s="25"/>
      <c r="BL96" s="25"/>
      <c r="BM96" s="25"/>
      <c r="BN96" s="25"/>
      <c r="BO96" s="25"/>
      <c r="BP96" s="25"/>
      <c r="BQ96" s="25"/>
      <c r="BR96" s="25"/>
      <c r="BS96" s="25"/>
      <c r="BT96" s="25"/>
      <c r="BU96" s="25"/>
      <c r="BV96" s="25"/>
      <c r="BW96" s="25"/>
      <c r="BX96" s="25"/>
      <c r="BY96" s="25"/>
      <c r="BZ96" s="25"/>
      <c r="CA96" s="25"/>
      <c r="CB96" s="25"/>
      <c r="CC96" s="25"/>
      <c r="CD96" s="25"/>
      <c r="CE96" s="25"/>
      <c r="CF96" s="25"/>
      <c r="CG96" s="25"/>
      <c r="CH96" s="25"/>
      <c r="CI96" s="25"/>
      <c r="CJ96" s="25"/>
      <c r="CK96" s="25"/>
      <c r="CL96" s="25"/>
      <c r="CM96" s="25"/>
      <c r="CN96" s="25"/>
      <c r="CO96" s="25"/>
      <c r="CP96" s="25"/>
      <c r="CQ96" s="25"/>
      <c r="CR96" s="25"/>
      <c r="CS96" s="25"/>
      <c r="CT96" s="25"/>
      <c r="CU96" s="25"/>
      <c r="CV96" s="25"/>
      <c r="CW96" s="25"/>
      <c r="CX96" s="25"/>
      <c r="CY96" s="25"/>
      <c r="CZ96" s="25"/>
      <c r="DA96" s="25"/>
      <c r="DB96" s="25"/>
      <c r="DC96" s="25"/>
      <c r="DD96" s="25"/>
      <c r="DE96" s="25"/>
      <c r="DF96" s="25"/>
      <c r="DG96" s="25"/>
      <c r="DH96" s="25"/>
      <c r="DI96" s="25"/>
      <c r="DJ96" s="25"/>
      <c r="DK96" s="25"/>
      <c r="DL96" s="25"/>
      <c r="DM96" s="25"/>
      <c r="DN96" s="25"/>
      <c r="DO96" s="25"/>
      <c r="DP96" s="25"/>
      <c r="DQ96" s="25"/>
      <c r="DR96" s="25"/>
      <c r="DS96" s="25"/>
      <c r="DT96" s="25"/>
      <c r="DU96" s="25"/>
      <c r="DV96" s="25"/>
      <c r="DW96" s="25"/>
      <c r="DX96" s="25"/>
      <c r="DY96" s="25"/>
      <c r="DZ96" s="25"/>
      <c r="EA96" s="25"/>
      <c r="EB96" s="25"/>
      <c r="EC96" s="25"/>
      <c r="ED96" s="25"/>
      <c r="EE96" s="25"/>
      <c r="EF96" s="25"/>
      <c r="EG96" s="25"/>
      <c r="EH96" s="25"/>
      <c r="EI96" s="25"/>
      <c r="EJ96" s="25"/>
      <c r="EK96" s="25"/>
      <c r="EL96" s="25"/>
      <c r="EM96" s="25"/>
      <c r="EN96" s="25"/>
      <c r="EO96" s="25"/>
      <c r="EP96" s="25"/>
      <c r="EQ96" s="25"/>
      <c r="ER96" s="25"/>
      <c r="ES96" s="25"/>
      <c r="ET96" s="25"/>
      <c r="EU96" s="25"/>
      <c r="EV96" s="25"/>
      <c r="EW96" s="25"/>
    </row>
    <row r="97" spans="1:153" ht="17.25" customHeight="1" x14ac:dyDescent="0.25">
      <c r="A97" s="25" t="s">
        <v>204</v>
      </c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5"/>
      <c r="AV97" s="25"/>
      <c r="AW97" s="25"/>
      <c r="AX97" s="25"/>
      <c r="AY97" s="25"/>
      <c r="AZ97" s="25"/>
      <c r="BA97" s="25"/>
      <c r="BB97" s="25"/>
      <c r="BC97" s="25"/>
      <c r="BD97" s="25"/>
      <c r="BE97" s="25"/>
      <c r="BF97" s="25"/>
      <c r="BG97" s="25"/>
      <c r="BH97" s="25"/>
      <c r="BI97" s="25"/>
      <c r="BJ97" s="25"/>
      <c r="BK97" s="25"/>
      <c r="BL97" s="25"/>
      <c r="BM97" s="25"/>
      <c r="BN97" s="25"/>
      <c r="BO97" s="25"/>
      <c r="BP97" s="25"/>
      <c r="BQ97" s="25"/>
      <c r="BR97" s="25"/>
      <c r="BS97" s="25"/>
      <c r="BT97" s="25"/>
      <c r="BU97" s="25"/>
      <c r="BV97" s="25"/>
      <c r="BW97" s="25"/>
      <c r="BX97" s="25"/>
      <c r="BY97" s="25"/>
      <c r="BZ97" s="25"/>
      <c r="CA97" s="25"/>
      <c r="CB97" s="25"/>
      <c r="CC97" s="25"/>
      <c r="CD97" s="25"/>
      <c r="CE97" s="25"/>
      <c r="CF97" s="25"/>
      <c r="CG97" s="25"/>
      <c r="CH97" s="25"/>
      <c r="CI97" s="25"/>
      <c r="CJ97" s="25"/>
      <c r="CK97" s="25"/>
      <c r="CL97" s="25"/>
      <c r="CM97" s="25"/>
      <c r="CN97" s="25"/>
      <c r="CO97" s="25"/>
      <c r="CP97" s="25"/>
      <c r="CQ97" s="25"/>
      <c r="CR97" s="25"/>
      <c r="CS97" s="25"/>
      <c r="CT97" s="25"/>
      <c r="CU97" s="25"/>
      <c r="CV97" s="25"/>
      <c r="CW97" s="25"/>
      <c r="CX97" s="25"/>
      <c r="CY97" s="25"/>
      <c r="CZ97" s="25"/>
      <c r="DA97" s="25"/>
      <c r="DB97" s="25"/>
      <c r="DC97" s="25"/>
      <c r="DD97" s="25"/>
      <c r="DE97" s="25"/>
      <c r="DF97" s="25"/>
      <c r="DG97" s="25"/>
      <c r="DH97" s="25"/>
      <c r="DI97" s="25"/>
      <c r="DJ97" s="25"/>
      <c r="DK97" s="25"/>
      <c r="DL97" s="25"/>
      <c r="DM97" s="25"/>
      <c r="DN97" s="25"/>
      <c r="DO97" s="25"/>
      <c r="DP97" s="25"/>
      <c r="DQ97" s="25"/>
      <c r="DR97" s="25"/>
      <c r="DS97" s="25"/>
      <c r="DT97" s="25"/>
      <c r="DU97" s="25"/>
      <c r="DV97" s="25"/>
      <c r="DW97" s="25"/>
      <c r="DX97" s="25"/>
      <c r="DY97" s="25"/>
      <c r="DZ97" s="25"/>
      <c r="EA97" s="25"/>
      <c r="EB97" s="25"/>
      <c r="EC97" s="25"/>
      <c r="ED97" s="25"/>
      <c r="EE97" s="25"/>
      <c r="EF97" s="25"/>
      <c r="EG97" s="25"/>
      <c r="EH97" s="25"/>
      <c r="EI97" s="25"/>
      <c r="EJ97" s="25"/>
      <c r="EK97" s="25"/>
      <c r="EL97" s="25"/>
      <c r="EM97" s="25"/>
      <c r="EN97" s="25"/>
      <c r="EO97" s="25"/>
      <c r="EP97" s="25"/>
      <c r="EQ97" s="25"/>
      <c r="ER97" s="25"/>
      <c r="ES97" s="25"/>
      <c r="ET97" s="25"/>
      <c r="EU97" s="25"/>
      <c r="EV97" s="25"/>
      <c r="EW97" s="25"/>
    </row>
    <row r="98" spans="1:153" ht="17.25" customHeight="1" x14ac:dyDescent="0.25">
      <c r="A98" s="25" t="s">
        <v>205</v>
      </c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  <c r="BC98" s="25"/>
      <c r="BD98" s="25"/>
      <c r="BE98" s="25"/>
      <c r="BF98" s="25"/>
      <c r="BG98" s="25"/>
      <c r="BH98" s="25"/>
      <c r="BI98" s="25"/>
      <c r="BJ98" s="25"/>
      <c r="BK98" s="25"/>
      <c r="BL98" s="25"/>
      <c r="BM98" s="25"/>
      <c r="BN98" s="25"/>
      <c r="BO98" s="25"/>
      <c r="BP98" s="25"/>
      <c r="BQ98" s="25"/>
      <c r="BR98" s="25"/>
      <c r="BS98" s="25"/>
      <c r="BT98" s="25"/>
      <c r="BU98" s="25"/>
      <c r="BV98" s="25"/>
      <c r="BW98" s="25"/>
      <c r="BX98" s="25"/>
      <c r="BY98" s="25"/>
      <c r="BZ98" s="25"/>
      <c r="CA98" s="25"/>
      <c r="CB98" s="25"/>
      <c r="CC98" s="25"/>
      <c r="CD98" s="25"/>
      <c r="CE98" s="25"/>
      <c r="CF98" s="25"/>
      <c r="CG98" s="25"/>
      <c r="CH98" s="25"/>
      <c r="CI98" s="25"/>
      <c r="CJ98" s="25"/>
      <c r="CK98" s="25"/>
      <c r="CL98" s="25"/>
      <c r="CM98" s="25"/>
      <c r="CN98" s="25"/>
      <c r="CO98" s="25"/>
      <c r="CP98" s="25"/>
      <c r="CQ98" s="25"/>
      <c r="CR98" s="25"/>
      <c r="CS98" s="25"/>
      <c r="CT98" s="25"/>
      <c r="CU98" s="25"/>
      <c r="CV98" s="25"/>
      <c r="CW98" s="25"/>
      <c r="CX98" s="25"/>
      <c r="CY98" s="25"/>
      <c r="CZ98" s="25"/>
      <c r="DA98" s="25"/>
      <c r="DB98" s="25"/>
      <c r="DC98" s="25"/>
      <c r="DD98" s="25"/>
      <c r="DE98" s="25"/>
      <c r="DF98" s="25"/>
      <c r="DG98" s="25"/>
      <c r="DH98" s="25"/>
      <c r="DI98" s="25"/>
      <c r="DJ98" s="25"/>
      <c r="DK98" s="25"/>
      <c r="DL98" s="25"/>
      <c r="DM98" s="25"/>
      <c r="DN98" s="25"/>
      <c r="DO98" s="25"/>
      <c r="DP98" s="25"/>
      <c r="DQ98" s="25"/>
      <c r="DR98" s="25"/>
      <c r="DS98" s="25"/>
      <c r="DT98" s="25"/>
      <c r="DU98" s="25"/>
      <c r="DV98" s="25"/>
      <c r="DW98" s="25"/>
      <c r="DX98" s="25"/>
      <c r="DY98" s="25"/>
      <c r="DZ98" s="25"/>
      <c r="EA98" s="25"/>
      <c r="EB98" s="25"/>
      <c r="EC98" s="25"/>
      <c r="ED98" s="25"/>
      <c r="EE98" s="25"/>
      <c r="EF98" s="25"/>
      <c r="EG98" s="25"/>
      <c r="EH98" s="25"/>
      <c r="EI98" s="25"/>
      <c r="EJ98" s="25"/>
      <c r="EK98" s="25"/>
      <c r="EL98" s="25"/>
      <c r="EM98" s="25"/>
      <c r="EN98" s="25"/>
      <c r="EO98" s="25"/>
      <c r="EP98" s="25"/>
      <c r="EQ98" s="25"/>
      <c r="ER98" s="25"/>
      <c r="ES98" s="25"/>
      <c r="ET98" s="25"/>
      <c r="EU98" s="25"/>
      <c r="EV98" s="25"/>
      <c r="EW98" s="25"/>
    </row>
    <row r="99" spans="1:153" ht="17.25" customHeight="1" x14ac:dyDescent="0.25">
      <c r="A99" s="25" t="s">
        <v>113</v>
      </c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5"/>
      <c r="BA99" s="25"/>
      <c r="BB99" s="25"/>
      <c r="BC99" s="25"/>
      <c r="BD99" s="25"/>
      <c r="BE99" s="25"/>
      <c r="BF99" s="25"/>
      <c r="BG99" s="25"/>
      <c r="BH99" s="25"/>
      <c r="BI99" s="25"/>
      <c r="BJ99" s="25"/>
      <c r="BK99" s="25"/>
      <c r="BL99" s="25"/>
      <c r="BM99" s="25"/>
      <c r="BN99" s="25"/>
      <c r="BO99" s="25"/>
      <c r="BP99" s="25"/>
      <c r="BQ99" s="25"/>
      <c r="BR99" s="25"/>
      <c r="BS99" s="25"/>
      <c r="BT99" s="25"/>
      <c r="BU99" s="25"/>
      <c r="BV99" s="25"/>
      <c r="BW99" s="25"/>
      <c r="BX99" s="25"/>
      <c r="BY99" s="25"/>
      <c r="BZ99" s="25"/>
      <c r="CA99" s="25"/>
      <c r="CB99" s="25"/>
      <c r="CC99" s="25"/>
      <c r="CD99" s="25"/>
      <c r="CE99" s="25"/>
      <c r="CF99" s="25"/>
      <c r="CG99" s="25"/>
      <c r="CH99" s="25"/>
      <c r="CI99" s="25"/>
      <c r="CJ99" s="25"/>
      <c r="CK99" s="25"/>
      <c r="CL99" s="25"/>
      <c r="CM99" s="25"/>
      <c r="CN99" s="25"/>
      <c r="CO99" s="25"/>
      <c r="CP99" s="25"/>
      <c r="CQ99" s="25"/>
      <c r="CR99" s="25"/>
      <c r="CS99" s="25"/>
      <c r="CT99" s="25"/>
      <c r="CU99" s="25"/>
      <c r="CV99" s="25"/>
      <c r="CW99" s="25"/>
      <c r="CX99" s="25"/>
      <c r="CY99" s="25"/>
      <c r="CZ99" s="25"/>
      <c r="DA99" s="25"/>
      <c r="DB99" s="25"/>
      <c r="DC99" s="25"/>
      <c r="DD99" s="25"/>
      <c r="DE99" s="25"/>
      <c r="DF99" s="25"/>
      <c r="DG99" s="25"/>
      <c r="DH99" s="25"/>
      <c r="DI99" s="25"/>
      <c r="DJ99" s="25"/>
      <c r="DK99" s="25"/>
      <c r="DL99" s="25"/>
      <c r="DM99" s="25"/>
      <c r="DN99" s="25"/>
      <c r="DO99" s="25"/>
      <c r="DP99" s="25"/>
      <c r="DQ99" s="25"/>
      <c r="DR99" s="25"/>
      <c r="DS99" s="25"/>
      <c r="DT99" s="25"/>
      <c r="DU99" s="25"/>
      <c r="DV99" s="25"/>
      <c r="DW99" s="25"/>
      <c r="DX99" s="25"/>
      <c r="DY99" s="25"/>
      <c r="DZ99" s="25"/>
      <c r="EA99" s="25"/>
      <c r="EB99" s="25"/>
      <c r="EC99" s="25"/>
      <c r="ED99" s="25"/>
      <c r="EE99" s="25"/>
      <c r="EF99" s="25"/>
      <c r="EG99" s="25"/>
      <c r="EH99" s="25"/>
      <c r="EI99" s="25"/>
      <c r="EJ99" s="25"/>
      <c r="EK99" s="25"/>
      <c r="EL99" s="25"/>
      <c r="EM99" s="25"/>
      <c r="EN99" s="25"/>
      <c r="EO99" s="25"/>
      <c r="EP99" s="25"/>
      <c r="EQ99" s="25"/>
      <c r="ER99" s="25"/>
      <c r="ES99" s="25"/>
      <c r="ET99" s="25"/>
      <c r="EU99" s="25"/>
      <c r="EV99" s="25"/>
      <c r="EW99" s="25"/>
    </row>
    <row r="100" spans="1:153" ht="17.25" customHeight="1" x14ac:dyDescent="0.25">
      <c r="A100" s="25" t="s">
        <v>206</v>
      </c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5"/>
      <c r="AV100" s="25"/>
      <c r="AW100" s="25"/>
      <c r="AX100" s="25"/>
      <c r="AY100" s="25"/>
      <c r="AZ100" s="25"/>
      <c r="BA100" s="25"/>
      <c r="BB100" s="25"/>
      <c r="BC100" s="25"/>
      <c r="BD100" s="25"/>
      <c r="BE100" s="25"/>
      <c r="BF100" s="25"/>
      <c r="BG100" s="25"/>
      <c r="BH100" s="25"/>
      <c r="BI100" s="25"/>
      <c r="BJ100" s="25"/>
      <c r="BK100" s="25"/>
      <c r="BL100" s="25"/>
      <c r="BM100" s="25"/>
      <c r="BN100" s="25"/>
      <c r="BO100" s="25"/>
      <c r="BP100" s="25"/>
      <c r="BQ100" s="25"/>
      <c r="BR100" s="25"/>
      <c r="BS100" s="25"/>
      <c r="BT100" s="25"/>
      <c r="BU100" s="25"/>
      <c r="BV100" s="25"/>
      <c r="BW100" s="25"/>
      <c r="BX100" s="25"/>
      <c r="BY100" s="25"/>
      <c r="BZ100" s="25"/>
      <c r="CA100" s="25"/>
      <c r="CB100" s="25"/>
      <c r="CC100" s="25"/>
      <c r="CD100" s="25"/>
      <c r="CE100" s="25"/>
      <c r="CF100" s="25"/>
      <c r="CG100" s="25"/>
      <c r="CH100" s="25"/>
      <c r="CI100" s="25"/>
      <c r="CJ100" s="25"/>
      <c r="CK100" s="25"/>
      <c r="CL100" s="25"/>
      <c r="CM100" s="25"/>
      <c r="CN100" s="25"/>
      <c r="CO100" s="25"/>
      <c r="CP100" s="25"/>
      <c r="CQ100" s="25"/>
      <c r="CR100" s="25"/>
      <c r="CS100" s="25"/>
      <c r="CT100" s="25"/>
      <c r="CU100" s="25"/>
      <c r="CV100" s="25"/>
      <c r="CW100" s="25"/>
      <c r="CX100" s="25"/>
      <c r="CY100" s="25"/>
      <c r="CZ100" s="25"/>
      <c r="DA100" s="25"/>
      <c r="DB100" s="25"/>
      <c r="DC100" s="25"/>
      <c r="DD100" s="25"/>
      <c r="DE100" s="25"/>
      <c r="DF100" s="25"/>
      <c r="DG100" s="25"/>
      <c r="DH100" s="25"/>
      <c r="DI100" s="25"/>
      <c r="DJ100" s="25"/>
      <c r="DK100" s="25"/>
      <c r="DL100" s="25"/>
      <c r="DM100" s="25"/>
      <c r="DN100" s="25"/>
      <c r="DO100" s="25"/>
      <c r="DP100" s="25"/>
      <c r="DQ100" s="25"/>
      <c r="DR100" s="25"/>
      <c r="DS100" s="25"/>
      <c r="DT100" s="25"/>
      <c r="DU100" s="25"/>
      <c r="DV100" s="25"/>
      <c r="DW100" s="25"/>
      <c r="DX100" s="25"/>
      <c r="DY100" s="25"/>
      <c r="DZ100" s="25"/>
      <c r="EA100" s="25"/>
      <c r="EB100" s="25"/>
      <c r="EC100" s="25"/>
      <c r="ED100" s="25"/>
      <c r="EE100" s="25"/>
      <c r="EF100" s="25"/>
      <c r="EG100" s="25"/>
      <c r="EH100" s="25"/>
      <c r="EI100" s="25"/>
      <c r="EJ100" s="25"/>
      <c r="EK100" s="25"/>
      <c r="EL100" s="25"/>
      <c r="EM100" s="25"/>
      <c r="EN100" s="25"/>
      <c r="EO100" s="25"/>
      <c r="EP100" s="25"/>
      <c r="EQ100" s="25"/>
      <c r="ER100" s="25"/>
      <c r="ES100" s="25"/>
      <c r="ET100" s="25"/>
      <c r="EU100" s="25"/>
      <c r="EV100" s="25"/>
      <c r="EW100" s="25"/>
    </row>
    <row r="101" spans="1:153" ht="17.25" customHeight="1" x14ac:dyDescent="0.25">
      <c r="A101" s="25" t="s">
        <v>207</v>
      </c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</row>
    <row r="102" spans="1:153" ht="17.25" customHeight="1" x14ac:dyDescent="0.25">
      <c r="A102" s="25" t="s">
        <v>208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</row>
    <row r="103" spans="1:153" ht="17.25" customHeight="1" x14ac:dyDescent="0.25">
      <c r="A103" s="25" t="s">
        <v>209</v>
      </c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</row>
    <row r="104" spans="1:153" ht="17.25" customHeight="1" x14ac:dyDescent="0.25">
      <c r="A104" s="25" t="s">
        <v>210</v>
      </c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</row>
    <row r="105" spans="1:153" ht="17.25" customHeight="1" x14ac:dyDescent="0.25">
      <c r="A105" s="25" t="s">
        <v>211</v>
      </c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</row>
    <row r="106" spans="1:153" ht="17.25" customHeight="1" x14ac:dyDescent="0.25">
      <c r="A106" s="25" t="s">
        <v>212</v>
      </c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</row>
    <row r="107" spans="1:153" ht="17.25" customHeight="1" x14ac:dyDescent="0.25">
      <c r="A107" s="25" t="s">
        <v>213</v>
      </c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  <c r="AW107" s="25"/>
      <c r="AX107" s="25"/>
      <c r="AY107" s="25"/>
      <c r="AZ107" s="25"/>
      <c r="BA107" s="25"/>
      <c r="BB107" s="25"/>
      <c r="BC107" s="25"/>
      <c r="BD107" s="25"/>
      <c r="BE107" s="25"/>
      <c r="BF107" s="25"/>
      <c r="BG107" s="25"/>
      <c r="BH107" s="25"/>
      <c r="BI107" s="25"/>
      <c r="BJ107" s="25"/>
      <c r="BK107" s="25"/>
      <c r="BL107" s="25"/>
      <c r="BM107" s="25"/>
      <c r="BN107" s="25"/>
      <c r="BO107" s="25"/>
      <c r="BP107" s="25"/>
      <c r="BQ107" s="25"/>
      <c r="BR107" s="25"/>
      <c r="BS107" s="25"/>
      <c r="BT107" s="25"/>
      <c r="BU107" s="25"/>
      <c r="BV107" s="25"/>
      <c r="BW107" s="25"/>
      <c r="BX107" s="25"/>
      <c r="BY107" s="25"/>
      <c r="BZ107" s="25"/>
      <c r="CA107" s="25"/>
      <c r="CB107" s="25"/>
      <c r="CC107" s="25"/>
      <c r="CD107" s="25"/>
      <c r="CE107" s="25"/>
      <c r="CF107" s="25"/>
      <c r="CG107" s="25"/>
      <c r="CH107" s="25"/>
      <c r="CI107" s="25"/>
      <c r="CJ107" s="25"/>
      <c r="CK107" s="25"/>
      <c r="CL107" s="25"/>
      <c r="CM107" s="25"/>
      <c r="CN107" s="25"/>
      <c r="CO107" s="25"/>
      <c r="CP107" s="25"/>
      <c r="CQ107" s="25"/>
      <c r="CR107" s="25"/>
      <c r="CS107" s="25"/>
      <c r="CT107" s="25"/>
      <c r="CU107" s="25"/>
      <c r="CV107" s="25"/>
      <c r="CW107" s="25"/>
      <c r="CX107" s="25"/>
      <c r="CY107" s="25"/>
      <c r="CZ107" s="25"/>
      <c r="DA107" s="25"/>
      <c r="DB107" s="25"/>
      <c r="DC107" s="25"/>
      <c r="DD107" s="25"/>
      <c r="DE107" s="25"/>
      <c r="DF107" s="25"/>
      <c r="DG107" s="25"/>
      <c r="DH107" s="25"/>
      <c r="DI107" s="25"/>
      <c r="DJ107" s="25"/>
      <c r="DK107" s="25"/>
      <c r="DL107" s="25"/>
      <c r="DM107" s="25"/>
      <c r="DN107" s="25"/>
      <c r="DO107" s="25"/>
      <c r="DP107" s="25"/>
      <c r="DQ107" s="25"/>
      <c r="DR107" s="25"/>
      <c r="DS107" s="25"/>
      <c r="DT107" s="25"/>
      <c r="DU107" s="25"/>
      <c r="DV107" s="25"/>
      <c r="DW107" s="25"/>
      <c r="DX107" s="25"/>
      <c r="DY107" s="25"/>
      <c r="DZ107" s="25"/>
      <c r="EA107" s="25"/>
      <c r="EB107" s="25"/>
      <c r="EC107" s="25"/>
      <c r="ED107" s="25"/>
      <c r="EE107" s="25"/>
      <c r="EF107" s="25"/>
      <c r="EG107" s="25"/>
      <c r="EH107" s="25"/>
      <c r="EI107" s="25"/>
      <c r="EJ107" s="25"/>
      <c r="EK107" s="25"/>
      <c r="EL107" s="25"/>
      <c r="EM107" s="25"/>
      <c r="EN107" s="25"/>
      <c r="EO107" s="25"/>
      <c r="EP107" s="25"/>
      <c r="EQ107" s="25"/>
      <c r="ER107" s="25"/>
      <c r="ES107" s="25"/>
      <c r="ET107" s="25"/>
      <c r="EU107" s="25"/>
      <c r="EV107" s="25"/>
      <c r="EW107" s="25"/>
    </row>
    <row r="108" spans="1:153" ht="17.25" customHeight="1" x14ac:dyDescent="0.25">
      <c r="A108" s="25" t="s">
        <v>214</v>
      </c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  <c r="AU108" s="25"/>
      <c r="AV108" s="25"/>
      <c r="AW108" s="25"/>
      <c r="AX108" s="25"/>
      <c r="AY108" s="25"/>
      <c r="AZ108" s="25"/>
      <c r="BA108" s="25"/>
      <c r="BB108" s="25"/>
      <c r="BC108" s="25"/>
      <c r="BD108" s="25"/>
      <c r="BE108" s="25"/>
      <c r="BF108" s="25"/>
      <c r="BG108" s="25"/>
      <c r="BH108" s="25"/>
      <c r="BI108" s="25"/>
      <c r="BJ108" s="25"/>
      <c r="BK108" s="25"/>
      <c r="BL108" s="25"/>
      <c r="BM108" s="25"/>
      <c r="BN108" s="25"/>
      <c r="BO108" s="25"/>
      <c r="BP108" s="25"/>
      <c r="BQ108" s="25"/>
      <c r="BR108" s="25"/>
      <c r="BS108" s="25"/>
      <c r="BT108" s="25"/>
      <c r="BU108" s="25"/>
      <c r="BV108" s="25"/>
      <c r="BW108" s="25"/>
      <c r="BX108" s="25"/>
      <c r="BY108" s="25"/>
      <c r="BZ108" s="25"/>
      <c r="CA108" s="25"/>
      <c r="CB108" s="25"/>
      <c r="CC108" s="25"/>
      <c r="CD108" s="25"/>
      <c r="CE108" s="25"/>
      <c r="CF108" s="25"/>
      <c r="CG108" s="25"/>
      <c r="CH108" s="25"/>
      <c r="CI108" s="25"/>
      <c r="CJ108" s="25"/>
      <c r="CK108" s="25"/>
      <c r="CL108" s="25"/>
      <c r="CM108" s="25"/>
      <c r="CN108" s="25"/>
      <c r="CO108" s="25"/>
      <c r="CP108" s="25"/>
      <c r="CQ108" s="25"/>
      <c r="CR108" s="25"/>
      <c r="CS108" s="25"/>
      <c r="CT108" s="25"/>
      <c r="CU108" s="25"/>
      <c r="CV108" s="25"/>
      <c r="CW108" s="25"/>
      <c r="CX108" s="25"/>
      <c r="CY108" s="25"/>
      <c r="CZ108" s="25"/>
      <c r="DA108" s="25"/>
      <c r="DB108" s="25"/>
      <c r="DC108" s="25"/>
      <c r="DD108" s="25"/>
      <c r="DE108" s="25"/>
      <c r="DF108" s="25"/>
      <c r="DG108" s="25"/>
      <c r="DH108" s="25"/>
      <c r="DI108" s="25"/>
      <c r="DJ108" s="25"/>
      <c r="DK108" s="25"/>
      <c r="DL108" s="25"/>
      <c r="DM108" s="25"/>
      <c r="DN108" s="25"/>
      <c r="DO108" s="25"/>
      <c r="DP108" s="25"/>
      <c r="DQ108" s="25"/>
      <c r="DR108" s="25"/>
      <c r="DS108" s="25"/>
      <c r="DT108" s="25"/>
      <c r="DU108" s="25"/>
      <c r="DV108" s="25"/>
      <c r="DW108" s="25"/>
      <c r="DX108" s="25"/>
      <c r="DY108" s="25"/>
      <c r="DZ108" s="25"/>
      <c r="EA108" s="25"/>
      <c r="EB108" s="25"/>
      <c r="EC108" s="25"/>
      <c r="ED108" s="25"/>
      <c r="EE108" s="25"/>
      <c r="EF108" s="25"/>
      <c r="EG108" s="25"/>
      <c r="EH108" s="25"/>
      <c r="EI108" s="25"/>
      <c r="EJ108" s="25"/>
      <c r="EK108" s="25"/>
      <c r="EL108" s="25"/>
      <c r="EM108" s="25"/>
      <c r="EN108" s="25"/>
      <c r="EO108" s="25"/>
      <c r="EP108" s="25"/>
      <c r="EQ108" s="25"/>
      <c r="ER108" s="25"/>
      <c r="ES108" s="25"/>
      <c r="ET108" s="25"/>
      <c r="EU108" s="25"/>
      <c r="EV108" s="25"/>
      <c r="EW108" s="25"/>
    </row>
    <row r="109" spans="1:153" ht="17.25" customHeight="1" x14ac:dyDescent="0.25">
      <c r="A109" s="25" t="s">
        <v>114</v>
      </c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  <c r="BC109" s="25"/>
      <c r="BD109" s="25"/>
      <c r="BE109" s="25"/>
      <c r="BF109" s="25"/>
      <c r="BG109" s="25"/>
      <c r="BH109" s="25"/>
      <c r="BI109" s="25"/>
      <c r="BJ109" s="25"/>
      <c r="BK109" s="25"/>
      <c r="BL109" s="25"/>
      <c r="BM109" s="25"/>
      <c r="BN109" s="25"/>
      <c r="BO109" s="25"/>
      <c r="BP109" s="25"/>
      <c r="BQ109" s="25"/>
      <c r="BR109" s="25"/>
      <c r="BS109" s="25"/>
      <c r="BT109" s="25"/>
      <c r="BU109" s="25"/>
      <c r="BV109" s="25"/>
      <c r="BW109" s="25"/>
      <c r="BX109" s="25"/>
      <c r="BY109" s="25"/>
      <c r="BZ109" s="25"/>
      <c r="CA109" s="25"/>
      <c r="CB109" s="25"/>
      <c r="CC109" s="25"/>
      <c r="CD109" s="25"/>
      <c r="CE109" s="25"/>
      <c r="CF109" s="25"/>
      <c r="CG109" s="25"/>
      <c r="CH109" s="25"/>
      <c r="CI109" s="25"/>
      <c r="CJ109" s="25"/>
      <c r="CK109" s="25"/>
      <c r="CL109" s="25"/>
      <c r="CM109" s="25"/>
      <c r="CN109" s="25"/>
      <c r="CO109" s="25"/>
      <c r="CP109" s="25"/>
      <c r="CQ109" s="25"/>
      <c r="CR109" s="25"/>
      <c r="CS109" s="25"/>
      <c r="CT109" s="25"/>
      <c r="CU109" s="25"/>
      <c r="CV109" s="25"/>
      <c r="CW109" s="25"/>
      <c r="CX109" s="25"/>
      <c r="CY109" s="25"/>
      <c r="CZ109" s="25"/>
      <c r="DA109" s="25"/>
      <c r="DB109" s="25"/>
      <c r="DC109" s="25"/>
      <c r="DD109" s="25"/>
      <c r="DE109" s="25"/>
      <c r="DF109" s="25"/>
      <c r="DG109" s="25"/>
      <c r="DH109" s="25"/>
      <c r="DI109" s="25"/>
      <c r="DJ109" s="25"/>
      <c r="DK109" s="25"/>
      <c r="DL109" s="25"/>
      <c r="DM109" s="25"/>
      <c r="DN109" s="25"/>
      <c r="DO109" s="25"/>
      <c r="DP109" s="25"/>
      <c r="DQ109" s="25"/>
      <c r="DR109" s="25"/>
      <c r="DS109" s="25"/>
      <c r="DT109" s="25"/>
      <c r="DU109" s="25"/>
      <c r="DV109" s="25"/>
      <c r="DW109" s="25"/>
      <c r="DX109" s="25"/>
      <c r="DY109" s="25"/>
      <c r="DZ109" s="25"/>
      <c r="EA109" s="25"/>
      <c r="EB109" s="25"/>
      <c r="EC109" s="25"/>
      <c r="ED109" s="25"/>
      <c r="EE109" s="25"/>
      <c r="EF109" s="25"/>
      <c r="EG109" s="25"/>
      <c r="EH109" s="25"/>
      <c r="EI109" s="25"/>
      <c r="EJ109" s="25"/>
      <c r="EK109" s="25"/>
      <c r="EL109" s="25"/>
      <c r="EM109" s="25"/>
      <c r="EN109" s="25"/>
      <c r="EO109" s="25"/>
      <c r="EP109" s="25"/>
      <c r="EQ109" s="25"/>
      <c r="ER109" s="25"/>
      <c r="ES109" s="25"/>
      <c r="ET109" s="25"/>
      <c r="EU109" s="25"/>
      <c r="EV109" s="25"/>
      <c r="EW109" s="25"/>
    </row>
    <row r="110" spans="1:153" ht="17.25" customHeight="1" x14ac:dyDescent="0.25">
      <c r="A110" s="25" t="s">
        <v>215</v>
      </c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  <c r="AU110" s="25"/>
      <c r="AV110" s="25"/>
      <c r="AW110" s="25"/>
      <c r="AX110" s="25"/>
      <c r="AY110" s="25"/>
      <c r="AZ110" s="25"/>
      <c r="BA110" s="25"/>
      <c r="BB110" s="25"/>
      <c r="BC110" s="25"/>
      <c r="BD110" s="25"/>
      <c r="BE110" s="25"/>
      <c r="BF110" s="25"/>
      <c r="BG110" s="25"/>
      <c r="BH110" s="25"/>
      <c r="BI110" s="25"/>
      <c r="BJ110" s="25"/>
      <c r="BK110" s="25"/>
      <c r="BL110" s="25"/>
      <c r="BM110" s="25"/>
      <c r="BN110" s="25"/>
      <c r="BO110" s="25"/>
      <c r="BP110" s="25"/>
      <c r="BQ110" s="25"/>
      <c r="BR110" s="25"/>
      <c r="BS110" s="25"/>
      <c r="BT110" s="25"/>
      <c r="BU110" s="25"/>
      <c r="BV110" s="25"/>
      <c r="BW110" s="25"/>
      <c r="BX110" s="25"/>
      <c r="BY110" s="25"/>
      <c r="BZ110" s="25"/>
      <c r="CA110" s="25"/>
      <c r="CB110" s="25"/>
      <c r="CC110" s="25"/>
      <c r="CD110" s="25"/>
      <c r="CE110" s="25"/>
      <c r="CF110" s="25"/>
      <c r="CG110" s="25"/>
      <c r="CH110" s="25"/>
      <c r="CI110" s="25"/>
      <c r="CJ110" s="25"/>
      <c r="CK110" s="25"/>
      <c r="CL110" s="25"/>
      <c r="CM110" s="25"/>
      <c r="CN110" s="25"/>
      <c r="CO110" s="25"/>
      <c r="CP110" s="25"/>
      <c r="CQ110" s="25"/>
      <c r="CR110" s="25"/>
      <c r="CS110" s="25"/>
      <c r="CT110" s="25"/>
      <c r="CU110" s="25"/>
      <c r="CV110" s="25"/>
      <c r="CW110" s="25"/>
      <c r="CX110" s="25"/>
      <c r="CY110" s="25"/>
      <c r="CZ110" s="25"/>
      <c r="DA110" s="25"/>
      <c r="DB110" s="25"/>
      <c r="DC110" s="25"/>
      <c r="DD110" s="25"/>
      <c r="DE110" s="25"/>
      <c r="DF110" s="25"/>
      <c r="DG110" s="25"/>
      <c r="DH110" s="25"/>
      <c r="DI110" s="25"/>
      <c r="DJ110" s="25"/>
      <c r="DK110" s="25"/>
      <c r="DL110" s="25"/>
      <c r="DM110" s="25"/>
      <c r="DN110" s="25"/>
      <c r="DO110" s="25"/>
      <c r="DP110" s="25"/>
      <c r="DQ110" s="25"/>
      <c r="DR110" s="25"/>
      <c r="DS110" s="25"/>
      <c r="DT110" s="25"/>
      <c r="DU110" s="25"/>
      <c r="DV110" s="25"/>
      <c r="DW110" s="25"/>
      <c r="DX110" s="25"/>
      <c r="DY110" s="25"/>
      <c r="DZ110" s="25"/>
      <c r="EA110" s="25"/>
      <c r="EB110" s="25"/>
      <c r="EC110" s="25"/>
      <c r="ED110" s="25"/>
      <c r="EE110" s="25"/>
      <c r="EF110" s="25"/>
      <c r="EG110" s="25"/>
      <c r="EH110" s="25"/>
      <c r="EI110" s="25"/>
      <c r="EJ110" s="25"/>
      <c r="EK110" s="25"/>
      <c r="EL110" s="25"/>
      <c r="EM110" s="25"/>
      <c r="EN110" s="25"/>
      <c r="EO110" s="25"/>
      <c r="EP110" s="25"/>
      <c r="EQ110" s="25"/>
      <c r="ER110" s="25"/>
      <c r="ES110" s="25"/>
      <c r="ET110" s="25"/>
      <c r="EU110" s="25"/>
      <c r="EV110" s="25"/>
      <c r="EW110" s="25"/>
    </row>
    <row r="111" spans="1:153" ht="17.25" customHeight="1" x14ac:dyDescent="0.25">
      <c r="A111" s="25" t="s">
        <v>115</v>
      </c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  <c r="AU111" s="25"/>
      <c r="AV111" s="25"/>
      <c r="AW111" s="25"/>
      <c r="AX111" s="25"/>
      <c r="AY111" s="25"/>
      <c r="AZ111" s="25"/>
      <c r="BA111" s="25"/>
      <c r="BB111" s="25"/>
      <c r="BC111" s="25"/>
      <c r="BD111" s="25"/>
      <c r="BE111" s="25"/>
      <c r="BF111" s="25"/>
      <c r="BG111" s="25"/>
      <c r="BH111" s="25"/>
      <c r="BI111" s="25"/>
      <c r="BJ111" s="25"/>
      <c r="BK111" s="25"/>
      <c r="BL111" s="25"/>
      <c r="BM111" s="25"/>
      <c r="BN111" s="25"/>
      <c r="BO111" s="25"/>
      <c r="BP111" s="25"/>
      <c r="BQ111" s="25"/>
      <c r="BR111" s="25"/>
      <c r="BS111" s="25"/>
      <c r="BT111" s="25"/>
      <c r="BU111" s="25"/>
      <c r="BV111" s="25"/>
      <c r="BW111" s="25"/>
      <c r="BX111" s="25"/>
      <c r="BY111" s="25"/>
      <c r="BZ111" s="25"/>
      <c r="CA111" s="25"/>
      <c r="CB111" s="25"/>
      <c r="CC111" s="25"/>
      <c r="CD111" s="25"/>
      <c r="CE111" s="25"/>
      <c r="CF111" s="25"/>
      <c r="CG111" s="25"/>
      <c r="CH111" s="25"/>
      <c r="CI111" s="25"/>
      <c r="CJ111" s="25"/>
      <c r="CK111" s="25"/>
      <c r="CL111" s="25"/>
      <c r="CM111" s="25"/>
      <c r="CN111" s="25"/>
      <c r="CO111" s="25"/>
      <c r="CP111" s="25"/>
      <c r="CQ111" s="25"/>
      <c r="CR111" s="25"/>
      <c r="CS111" s="25"/>
      <c r="CT111" s="25"/>
      <c r="CU111" s="25"/>
      <c r="CV111" s="25"/>
      <c r="CW111" s="25"/>
      <c r="CX111" s="25"/>
      <c r="CY111" s="25"/>
      <c r="CZ111" s="25"/>
      <c r="DA111" s="25"/>
      <c r="DB111" s="25"/>
      <c r="DC111" s="25"/>
      <c r="DD111" s="25"/>
      <c r="DE111" s="25"/>
      <c r="DF111" s="25"/>
      <c r="DG111" s="25"/>
      <c r="DH111" s="25"/>
      <c r="DI111" s="25"/>
      <c r="DJ111" s="25"/>
      <c r="DK111" s="25"/>
      <c r="DL111" s="25"/>
      <c r="DM111" s="25"/>
      <c r="DN111" s="25"/>
      <c r="DO111" s="25"/>
      <c r="DP111" s="25"/>
      <c r="DQ111" s="25"/>
      <c r="DR111" s="25"/>
      <c r="DS111" s="25"/>
      <c r="DT111" s="25"/>
      <c r="DU111" s="25"/>
      <c r="DV111" s="25"/>
      <c r="DW111" s="25"/>
      <c r="DX111" s="25"/>
      <c r="DY111" s="25"/>
      <c r="DZ111" s="25"/>
      <c r="EA111" s="25"/>
      <c r="EB111" s="25"/>
      <c r="EC111" s="25"/>
      <c r="ED111" s="25"/>
      <c r="EE111" s="25"/>
      <c r="EF111" s="25"/>
      <c r="EG111" s="25"/>
      <c r="EH111" s="25"/>
      <c r="EI111" s="25"/>
      <c r="EJ111" s="25"/>
      <c r="EK111" s="25"/>
      <c r="EL111" s="25"/>
      <c r="EM111" s="25"/>
      <c r="EN111" s="25"/>
      <c r="EO111" s="25"/>
      <c r="EP111" s="25"/>
      <c r="EQ111" s="25"/>
      <c r="ER111" s="25"/>
      <c r="ES111" s="25"/>
      <c r="ET111" s="25"/>
      <c r="EU111" s="25"/>
      <c r="EV111" s="25"/>
      <c r="EW111" s="25"/>
    </row>
    <row r="112" spans="1:153" ht="17.25" customHeight="1" x14ac:dyDescent="0.25">
      <c r="A112" s="25" t="s">
        <v>116</v>
      </c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  <c r="BC112" s="25"/>
      <c r="BD112" s="25"/>
      <c r="BE112" s="25"/>
      <c r="BF112" s="25"/>
      <c r="BG112" s="25"/>
      <c r="BH112" s="25"/>
      <c r="BI112" s="25"/>
      <c r="BJ112" s="25"/>
      <c r="BK112" s="25"/>
      <c r="BL112" s="25"/>
      <c r="BM112" s="25"/>
      <c r="BN112" s="25"/>
      <c r="BO112" s="25"/>
      <c r="BP112" s="25"/>
      <c r="BQ112" s="25"/>
      <c r="BR112" s="25"/>
      <c r="BS112" s="25"/>
      <c r="BT112" s="25"/>
      <c r="BU112" s="25"/>
      <c r="BV112" s="25"/>
      <c r="BW112" s="25"/>
      <c r="BX112" s="25"/>
      <c r="BY112" s="25"/>
      <c r="BZ112" s="25"/>
      <c r="CA112" s="25"/>
      <c r="CB112" s="25"/>
      <c r="CC112" s="25"/>
      <c r="CD112" s="25"/>
      <c r="CE112" s="25"/>
      <c r="CF112" s="25"/>
      <c r="CG112" s="25"/>
      <c r="CH112" s="25"/>
      <c r="CI112" s="25"/>
      <c r="CJ112" s="25"/>
      <c r="CK112" s="25"/>
      <c r="CL112" s="25"/>
      <c r="CM112" s="25"/>
      <c r="CN112" s="25"/>
      <c r="CO112" s="25"/>
      <c r="CP112" s="25"/>
      <c r="CQ112" s="25"/>
      <c r="CR112" s="25"/>
      <c r="CS112" s="25"/>
      <c r="CT112" s="25"/>
      <c r="CU112" s="25"/>
      <c r="CV112" s="25"/>
      <c r="CW112" s="25"/>
      <c r="CX112" s="25"/>
      <c r="CY112" s="25"/>
      <c r="CZ112" s="25"/>
      <c r="DA112" s="25"/>
      <c r="DB112" s="25"/>
      <c r="DC112" s="25"/>
      <c r="DD112" s="25"/>
      <c r="DE112" s="25"/>
      <c r="DF112" s="25"/>
      <c r="DG112" s="25"/>
      <c r="DH112" s="25"/>
      <c r="DI112" s="25"/>
      <c r="DJ112" s="25"/>
      <c r="DK112" s="25"/>
      <c r="DL112" s="25"/>
      <c r="DM112" s="25"/>
      <c r="DN112" s="25"/>
      <c r="DO112" s="25"/>
      <c r="DP112" s="25"/>
      <c r="DQ112" s="25"/>
      <c r="DR112" s="25"/>
      <c r="DS112" s="25"/>
      <c r="DT112" s="25"/>
      <c r="DU112" s="25"/>
      <c r="DV112" s="25"/>
      <c r="DW112" s="25"/>
      <c r="DX112" s="25"/>
      <c r="DY112" s="25"/>
      <c r="DZ112" s="25"/>
      <c r="EA112" s="25"/>
      <c r="EB112" s="25"/>
      <c r="EC112" s="25"/>
      <c r="ED112" s="25"/>
      <c r="EE112" s="25"/>
      <c r="EF112" s="25"/>
      <c r="EG112" s="25"/>
      <c r="EH112" s="25"/>
      <c r="EI112" s="25"/>
      <c r="EJ112" s="25"/>
      <c r="EK112" s="25"/>
      <c r="EL112" s="25"/>
      <c r="EM112" s="25"/>
      <c r="EN112" s="25"/>
      <c r="EO112" s="25"/>
      <c r="EP112" s="25"/>
      <c r="EQ112" s="25"/>
      <c r="ER112" s="25"/>
      <c r="ES112" s="25"/>
      <c r="ET112" s="25"/>
      <c r="EU112" s="25"/>
      <c r="EV112" s="25"/>
      <c r="EW112" s="25"/>
    </row>
    <row r="113" spans="1:153" ht="17.25" customHeight="1" x14ac:dyDescent="0.25">
      <c r="A113" s="25" t="s">
        <v>117</v>
      </c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  <c r="AU113" s="25"/>
      <c r="AV113" s="25"/>
      <c r="AW113" s="25"/>
      <c r="AX113" s="25"/>
      <c r="AY113" s="25"/>
      <c r="AZ113" s="25"/>
      <c r="BA113" s="25"/>
      <c r="BB113" s="25"/>
      <c r="BC113" s="25"/>
      <c r="BD113" s="25"/>
      <c r="BE113" s="25"/>
      <c r="BF113" s="25"/>
      <c r="BG113" s="25"/>
      <c r="BH113" s="25"/>
      <c r="BI113" s="25"/>
      <c r="BJ113" s="25"/>
      <c r="BK113" s="25"/>
      <c r="BL113" s="25"/>
      <c r="BM113" s="25"/>
      <c r="BN113" s="25"/>
      <c r="BO113" s="25"/>
      <c r="BP113" s="25"/>
      <c r="BQ113" s="25"/>
      <c r="BR113" s="25"/>
      <c r="BS113" s="25"/>
      <c r="BT113" s="25"/>
      <c r="BU113" s="25"/>
      <c r="BV113" s="25"/>
      <c r="BW113" s="25"/>
      <c r="BX113" s="25"/>
      <c r="BY113" s="25"/>
      <c r="BZ113" s="25"/>
      <c r="CA113" s="25"/>
      <c r="CB113" s="25"/>
      <c r="CC113" s="25"/>
      <c r="CD113" s="25"/>
      <c r="CE113" s="25"/>
      <c r="CF113" s="25"/>
      <c r="CG113" s="25"/>
      <c r="CH113" s="25"/>
      <c r="CI113" s="25"/>
      <c r="CJ113" s="25"/>
      <c r="CK113" s="25"/>
      <c r="CL113" s="25"/>
      <c r="CM113" s="25"/>
      <c r="CN113" s="25"/>
      <c r="CO113" s="25"/>
      <c r="CP113" s="25"/>
      <c r="CQ113" s="25"/>
      <c r="CR113" s="25"/>
      <c r="CS113" s="25"/>
      <c r="CT113" s="25"/>
      <c r="CU113" s="25"/>
      <c r="CV113" s="25"/>
      <c r="CW113" s="25"/>
      <c r="CX113" s="25"/>
      <c r="CY113" s="25"/>
      <c r="CZ113" s="25"/>
      <c r="DA113" s="25"/>
      <c r="DB113" s="25"/>
      <c r="DC113" s="25"/>
      <c r="DD113" s="25"/>
      <c r="DE113" s="25"/>
      <c r="DF113" s="25"/>
      <c r="DG113" s="25"/>
      <c r="DH113" s="25"/>
      <c r="DI113" s="25"/>
      <c r="DJ113" s="25"/>
      <c r="DK113" s="25"/>
      <c r="DL113" s="25"/>
      <c r="DM113" s="25"/>
      <c r="DN113" s="25"/>
      <c r="DO113" s="25"/>
      <c r="DP113" s="25"/>
      <c r="DQ113" s="25"/>
      <c r="DR113" s="25"/>
      <c r="DS113" s="25"/>
      <c r="DT113" s="25"/>
      <c r="DU113" s="25"/>
      <c r="DV113" s="25"/>
      <c r="DW113" s="25"/>
      <c r="DX113" s="25"/>
      <c r="DY113" s="25"/>
      <c r="DZ113" s="25"/>
      <c r="EA113" s="25"/>
      <c r="EB113" s="25"/>
      <c r="EC113" s="25"/>
      <c r="ED113" s="25"/>
      <c r="EE113" s="25"/>
      <c r="EF113" s="25"/>
      <c r="EG113" s="25"/>
      <c r="EH113" s="25"/>
      <c r="EI113" s="25"/>
      <c r="EJ113" s="25"/>
      <c r="EK113" s="25"/>
      <c r="EL113" s="25"/>
      <c r="EM113" s="25"/>
      <c r="EN113" s="25"/>
      <c r="EO113" s="25"/>
      <c r="EP113" s="25"/>
      <c r="EQ113" s="25"/>
      <c r="ER113" s="25"/>
      <c r="ES113" s="25"/>
      <c r="ET113" s="25"/>
      <c r="EU113" s="25"/>
      <c r="EV113" s="25"/>
      <c r="EW113" s="25"/>
    </row>
    <row r="114" spans="1:153" ht="17.25" customHeight="1" x14ac:dyDescent="0.25">
      <c r="A114" s="25" t="s">
        <v>216</v>
      </c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5"/>
      <c r="AV114" s="25"/>
      <c r="AW114" s="25"/>
      <c r="AX114" s="25"/>
      <c r="AY114" s="25"/>
      <c r="AZ114" s="25"/>
      <c r="BA114" s="25"/>
      <c r="BB114" s="25"/>
      <c r="BC114" s="25"/>
      <c r="BD114" s="25"/>
      <c r="BE114" s="25"/>
      <c r="BF114" s="25"/>
      <c r="BG114" s="25"/>
      <c r="BH114" s="25"/>
      <c r="BI114" s="25"/>
      <c r="BJ114" s="25"/>
      <c r="BK114" s="25"/>
      <c r="BL114" s="25"/>
      <c r="BM114" s="25"/>
      <c r="BN114" s="25"/>
      <c r="BO114" s="25"/>
      <c r="BP114" s="25"/>
      <c r="BQ114" s="25"/>
      <c r="BR114" s="25"/>
      <c r="BS114" s="25"/>
      <c r="BT114" s="25"/>
      <c r="BU114" s="25"/>
      <c r="BV114" s="25"/>
      <c r="BW114" s="25"/>
      <c r="BX114" s="25"/>
      <c r="BY114" s="25"/>
      <c r="BZ114" s="25"/>
      <c r="CA114" s="25"/>
      <c r="CB114" s="25"/>
      <c r="CC114" s="25"/>
      <c r="CD114" s="25"/>
      <c r="CE114" s="25"/>
      <c r="CF114" s="25"/>
      <c r="CG114" s="25"/>
      <c r="CH114" s="25"/>
      <c r="CI114" s="25"/>
      <c r="CJ114" s="25"/>
      <c r="CK114" s="25"/>
      <c r="CL114" s="25"/>
      <c r="CM114" s="25"/>
      <c r="CN114" s="25"/>
      <c r="CO114" s="25"/>
      <c r="CP114" s="25"/>
      <c r="CQ114" s="25"/>
      <c r="CR114" s="25"/>
      <c r="CS114" s="25"/>
      <c r="CT114" s="25"/>
      <c r="CU114" s="25"/>
      <c r="CV114" s="25"/>
      <c r="CW114" s="25"/>
      <c r="CX114" s="25"/>
      <c r="CY114" s="25"/>
      <c r="CZ114" s="25"/>
      <c r="DA114" s="25"/>
      <c r="DB114" s="25"/>
      <c r="DC114" s="25"/>
      <c r="DD114" s="25"/>
      <c r="DE114" s="25"/>
      <c r="DF114" s="25"/>
      <c r="DG114" s="25"/>
      <c r="DH114" s="25"/>
      <c r="DI114" s="25"/>
      <c r="DJ114" s="25"/>
      <c r="DK114" s="25"/>
      <c r="DL114" s="25"/>
      <c r="DM114" s="25"/>
      <c r="DN114" s="25"/>
      <c r="DO114" s="25"/>
      <c r="DP114" s="25"/>
      <c r="DQ114" s="25"/>
      <c r="DR114" s="25"/>
      <c r="DS114" s="25"/>
      <c r="DT114" s="25"/>
      <c r="DU114" s="25"/>
      <c r="DV114" s="25"/>
      <c r="DW114" s="25"/>
      <c r="DX114" s="25"/>
      <c r="DY114" s="25"/>
      <c r="DZ114" s="25"/>
      <c r="EA114" s="25"/>
      <c r="EB114" s="25"/>
      <c r="EC114" s="25"/>
      <c r="ED114" s="25"/>
      <c r="EE114" s="25"/>
      <c r="EF114" s="25"/>
      <c r="EG114" s="25"/>
      <c r="EH114" s="25"/>
      <c r="EI114" s="25"/>
      <c r="EJ114" s="25"/>
      <c r="EK114" s="25"/>
      <c r="EL114" s="25"/>
      <c r="EM114" s="25"/>
      <c r="EN114" s="25"/>
      <c r="EO114" s="25"/>
      <c r="EP114" s="25"/>
      <c r="EQ114" s="25"/>
      <c r="ER114" s="25"/>
      <c r="ES114" s="25"/>
      <c r="ET114" s="25"/>
      <c r="EU114" s="25"/>
      <c r="EV114" s="25"/>
      <c r="EW114" s="25"/>
    </row>
    <row r="115" spans="1:153" ht="17.25" customHeight="1" x14ac:dyDescent="0.25">
      <c r="A115" s="25" t="s">
        <v>118</v>
      </c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  <c r="BC115" s="25"/>
      <c r="BD115" s="25"/>
      <c r="BE115" s="25"/>
      <c r="BF115" s="25"/>
      <c r="BG115" s="25"/>
      <c r="BH115" s="25"/>
      <c r="BI115" s="25"/>
      <c r="BJ115" s="25"/>
      <c r="BK115" s="25"/>
      <c r="BL115" s="25"/>
      <c r="BM115" s="25"/>
      <c r="BN115" s="25"/>
      <c r="BO115" s="25"/>
      <c r="BP115" s="25"/>
      <c r="BQ115" s="25"/>
      <c r="BR115" s="25"/>
      <c r="BS115" s="25"/>
      <c r="BT115" s="25"/>
      <c r="BU115" s="25"/>
      <c r="BV115" s="25"/>
      <c r="BW115" s="25"/>
      <c r="BX115" s="25"/>
      <c r="BY115" s="25"/>
      <c r="BZ115" s="25"/>
      <c r="CA115" s="25"/>
      <c r="CB115" s="25"/>
      <c r="CC115" s="25"/>
      <c r="CD115" s="25"/>
      <c r="CE115" s="25"/>
      <c r="CF115" s="25"/>
      <c r="CG115" s="25"/>
      <c r="CH115" s="25"/>
      <c r="CI115" s="25"/>
      <c r="CJ115" s="25"/>
      <c r="CK115" s="25"/>
      <c r="CL115" s="25"/>
      <c r="CM115" s="25"/>
      <c r="CN115" s="25"/>
      <c r="CO115" s="25"/>
      <c r="CP115" s="25"/>
      <c r="CQ115" s="25"/>
      <c r="CR115" s="25"/>
      <c r="CS115" s="25"/>
      <c r="CT115" s="25"/>
      <c r="CU115" s="25"/>
      <c r="CV115" s="25"/>
      <c r="CW115" s="25"/>
      <c r="CX115" s="25"/>
      <c r="CY115" s="25"/>
      <c r="CZ115" s="25"/>
      <c r="DA115" s="25"/>
      <c r="DB115" s="25"/>
      <c r="DC115" s="25"/>
      <c r="DD115" s="25"/>
      <c r="DE115" s="25"/>
      <c r="DF115" s="25"/>
      <c r="DG115" s="25"/>
      <c r="DH115" s="25"/>
      <c r="DI115" s="25"/>
      <c r="DJ115" s="25"/>
      <c r="DK115" s="25"/>
      <c r="DL115" s="25"/>
      <c r="DM115" s="25"/>
      <c r="DN115" s="25"/>
      <c r="DO115" s="25"/>
      <c r="DP115" s="25"/>
      <c r="DQ115" s="25"/>
      <c r="DR115" s="25"/>
      <c r="DS115" s="25"/>
      <c r="DT115" s="25"/>
      <c r="DU115" s="25"/>
      <c r="DV115" s="25"/>
      <c r="DW115" s="25"/>
      <c r="DX115" s="25"/>
      <c r="DY115" s="25"/>
      <c r="DZ115" s="25"/>
      <c r="EA115" s="25"/>
      <c r="EB115" s="25"/>
      <c r="EC115" s="25"/>
      <c r="ED115" s="25"/>
      <c r="EE115" s="25"/>
      <c r="EF115" s="25"/>
      <c r="EG115" s="25"/>
      <c r="EH115" s="25"/>
      <c r="EI115" s="25"/>
      <c r="EJ115" s="25"/>
      <c r="EK115" s="25"/>
      <c r="EL115" s="25"/>
      <c r="EM115" s="25"/>
      <c r="EN115" s="25"/>
      <c r="EO115" s="25"/>
      <c r="EP115" s="25"/>
      <c r="EQ115" s="25"/>
      <c r="ER115" s="25"/>
      <c r="ES115" s="25"/>
      <c r="ET115" s="25"/>
      <c r="EU115" s="25"/>
      <c r="EV115" s="25"/>
      <c r="EW115" s="25"/>
    </row>
    <row r="116" spans="1:153" ht="17.25" customHeight="1" x14ac:dyDescent="0.25">
      <c r="A116" s="25" t="s">
        <v>217</v>
      </c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  <c r="AU116" s="25"/>
      <c r="AV116" s="25"/>
      <c r="AW116" s="25"/>
      <c r="AX116" s="25"/>
      <c r="AY116" s="25"/>
      <c r="AZ116" s="25"/>
      <c r="BA116" s="25"/>
      <c r="BB116" s="25"/>
      <c r="BC116" s="25"/>
      <c r="BD116" s="25"/>
      <c r="BE116" s="25"/>
      <c r="BF116" s="25"/>
      <c r="BG116" s="25"/>
      <c r="BH116" s="25"/>
      <c r="BI116" s="25"/>
      <c r="BJ116" s="25"/>
      <c r="BK116" s="25"/>
      <c r="BL116" s="25"/>
      <c r="BM116" s="25"/>
      <c r="BN116" s="25"/>
      <c r="BO116" s="25"/>
      <c r="BP116" s="25"/>
      <c r="BQ116" s="25"/>
      <c r="BR116" s="25"/>
      <c r="BS116" s="25"/>
      <c r="BT116" s="25"/>
      <c r="BU116" s="25"/>
      <c r="BV116" s="25"/>
      <c r="BW116" s="25"/>
      <c r="BX116" s="25"/>
      <c r="BY116" s="25"/>
      <c r="BZ116" s="25"/>
      <c r="CA116" s="25"/>
      <c r="CB116" s="25"/>
      <c r="CC116" s="25"/>
      <c r="CD116" s="25"/>
      <c r="CE116" s="25"/>
      <c r="CF116" s="25"/>
      <c r="CG116" s="25"/>
      <c r="CH116" s="25"/>
      <c r="CI116" s="25"/>
      <c r="CJ116" s="25"/>
      <c r="CK116" s="25"/>
      <c r="CL116" s="25"/>
      <c r="CM116" s="25"/>
      <c r="CN116" s="25"/>
      <c r="CO116" s="25"/>
      <c r="CP116" s="25"/>
      <c r="CQ116" s="25"/>
      <c r="CR116" s="25"/>
      <c r="CS116" s="25"/>
      <c r="CT116" s="25"/>
      <c r="CU116" s="25"/>
      <c r="CV116" s="25"/>
      <c r="CW116" s="25"/>
      <c r="CX116" s="25"/>
      <c r="CY116" s="25"/>
      <c r="CZ116" s="25"/>
      <c r="DA116" s="25"/>
      <c r="DB116" s="25"/>
      <c r="DC116" s="25"/>
      <c r="DD116" s="25"/>
      <c r="DE116" s="25"/>
      <c r="DF116" s="25"/>
      <c r="DG116" s="25"/>
      <c r="DH116" s="25"/>
      <c r="DI116" s="25"/>
      <c r="DJ116" s="25"/>
      <c r="DK116" s="25"/>
      <c r="DL116" s="25"/>
      <c r="DM116" s="25"/>
      <c r="DN116" s="25"/>
      <c r="DO116" s="25"/>
      <c r="DP116" s="25"/>
      <c r="DQ116" s="25"/>
      <c r="DR116" s="25"/>
      <c r="DS116" s="25"/>
      <c r="DT116" s="25"/>
      <c r="DU116" s="25"/>
      <c r="DV116" s="25"/>
      <c r="DW116" s="25"/>
      <c r="DX116" s="25"/>
      <c r="DY116" s="25"/>
      <c r="DZ116" s="25"/>
      <c r="EA116" s="25"/>
      <c r="EB116" s="25"/>
      <c r="EC116" s="25"/>
      <c r="ED116" s="25"/>
      <c r="EE116" s="25"/>
      <c r="EF116" s="25"/>
      <c r="EG116" s="25"/>
      <c r="EH116" s="25"/>
      <c r="EI116" s="25"/>
      <c r="EJ116" s="25"/>
      <c r="EK116" s="25"/>
      <c r="EL116" s="25"/>
      <c r="EM116" s="25"/>
      <c r="EN116" s="25"/>
      <c r="EO116" s="25"/>
      <c r="EP116" s="25"/>
      <c r="EQ116" s="25"/>
      <c r="ER116" s="25"/>
      <c r="ES116" s="25"/>
      <c r="ET116" s="25"/>
      <c r="EU116" s="25"/>
      <c r="EV116" s="25"/>
      <c r="EW116" s="25"/>
    </row>
    <row r="117" spans="1:153" ht="17.25" customHeight="1" x14ac:dyDescent="0.25">
      <c r="A117" s="25" t="s">
        <v>119</v>
      </c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  <c r="AZ117" s="25"/>
      <c r="BA117" s="25"/>
      <c r="BB117" s="25"/>
      <c r="BC117" s="25"/>
      <c r="BD117" s="25"/>
      <c r="BE117" s="25"/>
      <c r="BF117" s="25"/>
      <c r="BG117" s="25"/>
      <c r="BH117" s="25"/>
      <c r="BI117" s="25"/>
      <c r="BJ117" s="25"/>
      <c r="BK117" s="25"/>
      <c r="BL117" s="25"/>
      <c r="BM117" s="25"/>
      <c r="BN117" s="25"/>
      <c r="BO117" s="25"/>
      <c r="BP117" s="25"/>
      <c r="BQ117" s="25"/>
      <c r="BR117" s="25"/>
      <c r="BS117" s="25"/>
      <c r="BT117" s="25"/>
      <c r="BU117" s="25"/>
      <c r="BV117" s="25"/>
      <c r="BW117" s="25"/>
      <c r="BX117" s="25"/>
      <c r="BY117" s="25"/>
      <c r="BZ117" s="25"/>
      <c r="CA117" s="25"/>
      <c r="CB117" s="25"/>
      <c r="CC117" s="25"/>
      <c r="CD117" s="25"/>
      <c r="CE117" s="25"/>
      <c r="CF117" s="25"/>
      <c r="CG117" s="25"/>
      <c r="CH117" s="25"/>
      <c r="CI117" s="25"/>
      <c r="CJ117" s="25"/>
      <c r="CK117" s="25"/>
      <c r="CL117" s="25"/>
      <c r="CM117" s="25"/>
      <c r="CN117" s="25"/>
      <c r="CO117" s="25"/>
      <c r="CP117" s="25"/>
      <c r="CQ117" s="25"/>
      <c r="CR117" s="25"/>
      <c r="CS117" s="25"/>
      <c r="CT117" s="25"/>
      <c r="CU117" s="25"/>
      <c r="CV117" s="25"/>
      <c r="CW117" s="25"/>
      <c r="CX117" s="25"/>
      <c r="CY117" s="25"/>
      <c r="CZ117" s="25"/>
      <c r="DA117" s="25"/>
      <c r="DB117" s="25"/>
      <c r="DC117" s="25"/>
      <c r="DD117" s="25"/>
      <c r="DE117" s="25"/>
      <c r="DF117" s="25"/>
      <c r="DG117" s="25"/>
      <c r="DH117" s="25"/>
      <c r="DI117" s="25"/>
      <c r="DJ117" s="25"/>
      <c r="DK117" s="25"/>
      <c r="DL117" s="25"/>
      <c r="DM117" s="25"/>
      <c r="DN117" s="25"/>
      <c r="DO117" s="25"/>
      <c r="DP117" s="25"/>
      <c r="DQ117" s="25"/>
      <c r="DR117" s="25"/>
      <c r="DS117" s="25"/>
      <c r="DT117" s="25"/>
      <c r="DU117" s="25"/>
      <c r="DV117" s="25"/>
      <c r="DW117" s="25"/>
      <c r="DX117" s="25"/>
      <c r="DY117" s="25"/>
      <c r="DZ117" s="25"/>
      <c r="EA117" s="25"/>
      <c r="EB117" s="25"/>
      <c r="EC117" s="25"/>
      <c r="ED117" s="25"/>
      <c r="EE117" s="25"/>
      <c r="EF117" s="25"/>
      <c r="EG117" s="25"/>
      <c r="EH117" s="25"/>
      <c r="EI117" s="25"/>
      <c r="EJ117" s="25"/>
      <c r="EK117" s="25"/>
      <c r="EL117" s="25"/>
      <c r="EM117" s="25"/>
      <c r="EN117" s="25"/>
      <c r="EO117" s="25"/>
      <c r="EP117" s="25"/>
      <c r="EQ117" s="25"/>
      <c r="ER117" s="25"/>
      <c r="ES117" s="25"/>
      <c r="ET117" s="25"/>
      <c r="EU117" s="25"/>
      <c r="EV117" s="25"/>
      <c r="EW117" s="25"/>
    </row>
    <row r="118" spans="1:153" ht="17.25" customHeight="1" x14ac:dyDescent="0.25">
      <c r="A118" s="25" t="s">
        <v>218</v>
      </c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  <c r="BC118" s="25"/>
      <c r="BD118" s="25"/>
      <c r="BE118" s="25"/>
      <c r="BF118" s="25"/>
      <c r="BG118" s="25"/>
      <c r="BH118" s="25"/>
      <c r="BI118" s="25"/>
      <c r="BJ118" s="25"/>
      <c r="BK118" s="25"/>
      <c r="BL118" s="25"/>
      <c r="BM118" s="25"/>
      <c r="BN118" s="25"/>
      <c r="BO118" s="25"/>
      <c r="BP118" s="25"/>
      <c r="BQ118" s="25"/>
      <c r="BR118" s="25"/>
      <c r="BS118" s="25"/>
      <c r="BT118" s="25"/>
      <c r="BU118" s="25"/>
      <c r="BV118" s="25"/>
      <c r="BW118" s="25"/>
      <c r="BX118" s="25"/>
      <c r="BY118" s="25"/>
      <c r="BZ118" s="25"/>
      <c r="CA118" s="25"/>
      <c r="CB118" s="25"/>
      <c r="CC118" s="25"/>
      <c r="CD118" s="25"/>
      <c r="CE118" s="25"/>
      <c r="CF118" s="25"/>
      <c r="CG118" s="25"/>
      <c r="CH118" s="25"/>
      <c r="CI118" s="25"/>
      <c r="CJ118" s="25"/>
      <c r="CK118" s="25"/>
      <c r="CL118" s="25"/>
      <c r="CM118" s="25"/>
      <c r="CN118" s="25"/>
      <c r="CO118" s="25"/>
      <c r="CP118" s="25"/>
      <c r="CQ118" s="25"/>
      <c r="CR118" s="25"/>
      <c r="CS118" s="25"/>
      <c r="CT118" s="25"/>
      <c r="CU118" s="25"/>
      <c r="CV118" s="25"/>
      <c r="CW118" s="25"/>
      <c r="CX118" s="25"/>
      <c r="CY118" s="25"/>
      <c r="CZ118" s="25"/>
      <c r="DA118" s="25"/>
      <c r="DB118" s="25"/>
      <c r="DC118" s="25"/>
      <c r="DD118" s="25"/>
      <c r="DE118" s="25"/>
      <c r="DF118" s="25"/>
      <c r="DG118" s="25"/>
      <c r="DH118" s="25"/>
      <c r="DI118" s="25"/>
      <c r="DJ118" s="25"/>
      <c r="DK118" s="25"/>
      <c r="DL118" s="25"/>
      <c r="DM118" s="25"/>
      <c r="DN118" s="25"/>
      <c r="DO118" s="25"/>
      <c r="DP118" s="25"/>
      <c r="DQ118" s="25"/>
      <c r="DR118" s="25"/>
      <c r="DS118" s="25"/>
      <c r="DT118" s="25"/>
      <c r="DU118" s="25"/>
      <c r="DV118" s="25"/>
      <c r="DW118" s="25"/>
      <c r="DX118" s="25"/>
      <c r="DY118" s="25"/>
      <c r="DZ118" s="25"/>
      <c r="EA118" s="25"/>
      <c r="EB118" s="25"/>
      <c r="EC118" s="25"/>
      <c r="ED118" s="25"/>
      <c r="EE118" s="25"/>
      <c r="EF118" s="25"/>
      <c r="EG118" s="25"/>
      <c r="EH118" s="25"/>
      <c r="EI118" s="25"/>
      <c r="EJ118" s="25"/>
      <c r="EK118" s="25"/>
      <c r="EL118" s="25"/>
      <c r="EM118" s="25"/>
      <c r="EN118" s="25"/>
      <c r="EO118" s="25"/>
      <c r="EP118" s="25"/>
      <c r="EQ118" s="25"/>
      <c r="ER118" s="25"/>
      <c r="ES118" s="25"/>
      <c r="ET118" s="25"/>
      <c r="EU118" s="25"/>
      <c r="EV118" s="25"/>
      <c r="EW118" s="25"/>
    </row>
    <row r="119" spans="1:153" ht="17.25" customHeight="1" x14ac:dyDescent="0.25">
      <c r="A119" s="25" t="s">
        <v>219</v>
      </c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5"/>
      <c r="AV119" s="25"/>
      <c r="AW119" s="25"/>
      <c r="AX119" s="25"/>
      <c r="AY119" s="25"/>
      <c r="AZ119" s="25"/>
      <c r="BA119" s="25"/>
      <c r="BB119" s="25"/>
      <c r="BC119" s="25"/>
      <c r="BD119" s="25"/>
      <c r="BE119" s="25"/>
      <c r="BF119" s="25"/>
      <c r="BG119" s="25"/>
      <c r="BH119" s="25"/>
      <c r="BI119" s="25"/>
      <c r="BJ119" s="25"/>
      <c r="BK119" s="25"/>
      <c r="BL119" s="25"/>
      <c r="BM119" s="25"/>
      <c r="BN119" s="25"/>
      <c r="BO119" s="25"/>
      <c r="BP119" s="25"/>
      <c r="BQ119" s="25"/>
      <c r="BR119" s="25"/>
      <c r="BS119" s="25"/>
      <c r="BT119" s="25"/>
      <c r="BU119" s="25"/>
      <c r="BV119" s="25"/>
      <c r="BW119" s="25"/>
      <c r="BX119" s="25"/>
      <c r="BY119" s="25"/>
      <c r="BZ119" s="25"/>
      <c r="CA119" s="25"/>
      <c r="CB119" s="25"/>
      <c r="CC119" s="25"/>
      <c r="CD119" s="25"/>
      <c r="CE119" s="25"/>
      <c r="CF119" s="25"/>
      <c r="CG119" s="25"/>
      <c r="CH119" s="25"/>
      <c r="CI119" s="25"/>
      <c r="CJ119" s="25"/>
      <c r="CK119" s="25"/>
      <c r="CL119" s="25"/>
      <c r="CM119" s="25"/>
      <c r="CN119" s="25"/>
      <c r="CO119" s="25"/>
      <c r="CP119" s="25"/>
      <c r="CQ119" s="25"/>
      <c r="CR119" s="25"/>
      <c r="CS119" s="25"/>
      <c r="CT119" s="25"/>
      <c r="CU119" s="25"/>
      <c r="CV119" s="25"/>
      <c r="CW119" s="25"/>
      <c r="CX119" s="25"/>
      <c r="CY119" s="25"/>
      <c r="CZ119" s="25"/>
      <c r="DA119" s="25"/>
      <c r="DB119" s="25"/>
      <c r="DC119" s="25"/>
      <c r="DD119" s="25"/>
      <c r="DE119" s="25"/>
      <c r="DF119" s="25"/>
      <c r="DG119" s="25"/>
      <c r="DH119" s="25"/>
      <c r="DI119" s="25"/>
      <c r="DJ119" s="25"/>
      <c r="DK119" s="25"/>
      <c r="DL119" s="25"/>
      <c r="DM119" s="25"/>
      <c r="DN119" s="25"/>
      <c r="DO119" s="25"/>
      <c r="DP119" s="25"/>
      <c r="DQ119" s="25"/>
      <c r="DR119" s="25"/>
      <c r="DS119" s="25"/>
      <c r="DT119" s="25"/>
      <c r="DU119" s="25"/>
      <c r="DV119" s="25"/>
      <c r="DW119" s="25"/>
      <c r="DX119" s="25"/>
      <c r="DY119" s="25"/>
      <c r="DZ119" s="25"/>
      <c r="EA119" s="25"/>
      <c r="EB119" s="25"/>
      <c r="EC119" s="25"/>
      <c r="ED119" s="25"/>
      <c r="EE119" s="25"/>
      <c r="EF119" s="25"/>
      <c r="EG119" s="25"/>
      <c r="EH119" s="25"/>
      <c r="EI119" s="25"/>
      <c r="EJ119" s="25"/>
      <c r="EK119" s="25"/>
      <c r="EL119" s="25"/>
      <c r="EM119" s="25"/>
      <c r="EN119" s="25"/>
      <c r="EO119" s="25"/>
      <c r="EP119" s="25"/>
      <c r="EQ119" s="25"/>
      <c r="ER119" s="25"/>
      <c r="ES119" s="25"/>
      <c r="ET119" s="25"/>
      <c r="EU119" s="25"/>
      <c r="EV119" s="25"/>
      <c r="EW119" s="25"/>
    </row>
    <row r="120" spans="1:153" ht="17.25" customHeight="1" x14ac:dyDescent="0.25">
      <c r="A120" s="25" t="s">
        <v>220</v>
      </c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5"/>
      <c r="AV120" s="25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5"/>
      <c r="BH120" s="25"/>
      <c r="BI120" s="25"/>
      <c r="BJ120" s="25"/>
      <c r="BK120" s="25"/>
      <c r="BL120" s="25"/>
      <c r="BM120" s="25"/>
      <c r="BN120" s="25"/>
      <c r="BO120" s="25"/>
      <c r="BP120" s="25"/>
      <c r="BQ120" s="25"/>
      <c r="BR120" s="25"/>
      <c r="BS120" s="25"/>
      <c r="BT120" s="25"/>
      <c r="BU120" s="25"/>
      <c r="BV120" s="25"/>
      <c r="BW120" s="25"/>
      <c r="BX120" s="25"/>
      <c r="BY120" s="25"/>
      <c r="BZ120" s="25"/>
      <c r="CA120" s="25"/>
      <c r="CB120" s="25"/>
      <c r="CC120" s="25"/>
      <c r="CD120" s="25"/>
      <c r="CE120" s="25"/>
      <c r="CF120" s="25"/>
      <c r="CG120" s="25"/>
      <c r="CH120" s="25"/>
      <c r="CI120" s="25"/>
      <c r="CJ120" s="25"/>
      <c r="CK120" s="25"/>
      <c r="CL120" s="25"/>
      <c r="CM120" s="25"/>
      <c r="CN120" s="25"/>
      <c r="CO120" s="25"/>
      <c r="CP120" s="25"/>
      <c r="CQ120" s="25"/>
      <c r="CR120" s="25"/>
      <c r="CS120" s="25"/>
      <c r="CT120" s="25"/>
      <c r="CU120" s="25"/>
      <c r="CV120" s="25"/>
      <c r="CW120" s="25"/>
      <c r="CX120" s="25"/>
      <c r="CY120" s="25"/>
      <c r="CZ120" s="25"/>
      <c r="DA120" s="25"/>
      <c r="DB120" s="25"/>
      <c r="DC120" s="25"/>
      <c r="DD120" s="25"/>
      <c r="DE120" s="25"/>
      <c r="DF120" s="25"/>
      <c r="DG120" s="25"/>
      <c r="DH120" s="25"/>
      <c r="DI120" s="25"/>
      <c r="DJ120" s="25"/>
      <c r="DK120" s="25"/>
      <c r="DL120" s="25"/>
      <c r="DM120" s="25"/>
      <c r="DN120" s="25"/>
      <c r="DO120" s="25"/>
      <c r="DP120" s="25"/>
      <c r="DQ120" s="25"/>
      <c r="DR120" s="25"/>
      <c r="DS120" s="25"/>
      <c r="DT120" s="25"/>
      <c r="DU120" s="25"/>
      <c r="DV120" s="25"/>
      <c r="DW120" s="25"/>
      <c r="DX120" s="25"/>
      <c r="DY120" s="25"/>
      <c r="DZ120" s="25"/>
      <c r="EA120" s="25"/>
      <c r="EB120" s="25"/>
      <c r="EC120" s="25"/>
      <c r="ED120" s="25"/>
      <c r="EE120" s="25"/>
      <c r="EF120" s="25"/>
      <c r="EG120" s="25"/>
      <c r="EH120" s="25"/>
      <c r="EI120" s="25"/>
      <c r="EJ120" s="25"/>
      <c r="EK120" s="25"/>
      <c r="EL120" s="25"/>
      <c r="EM120" s="25"/>
      <c r="EN120" s="25"/>
      <c r="EO120" s="25"/>
      <c r="EP120" s="25"/>
      <c r="EQ120" s="25"/>
      <c r="ER120" s="25"/>
      <c r="ES120" s="25"/>
      <c r="ET120" s="25"/>
      <c r="EU120" s="25"/>
      <c r="EV120" s="25"/>
      <c r="EW120" s="25"/>
    </row>
    <row r="121" spans="1:153" ht="17.25" customHeight="1" x14ac:dyDescent="0.25">
      <c r="A121" s="25" t="s">
        <v>221</v>
      </c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  <c r="BC121" s="25"/>
      <c r="BD121" s="25"/>
      <c r="BE121" s="25"/>
      <c r="BF121" s="25"/>
      <c r="BG121" s="25"/>
      <c r="BH121" s="25"/>
      <c r="BI121" s="25"/>
      <c r="BJ121" s="25"/>
      <c r="BK121" s="25"/>
      <c r="BL121" s="25"/>
      <c r="BM121" s="25"/>
      <c r="BN121" s="25"/>
      <c r="BO121" s="25"/>
      <c r="BP121" s="25"/>
      <c r="BQ121" s="25"/>
      <c r="BR121" s="25"/>
      <c r="BS121" s="25"/>
      <c r="BT121" s="25"/>
      <c r="BU121" s="25"/>
      <c r="BV121" s="25"/>
      <c r="BW121" s="25"/>
      <c r="BX121" s="25"/>
      <c r="BY121" s="25"/>
      <c r="BZ121" s="25"/>
      <c r="CA121" s="25"/>
      <c r="CB121" s="25"/>
      <c r="CC121" s="25"/>
      <c r="CD121" s="25"/>
      <c r="CE121" s="25"/>
      <c r="CF121" s="25"/>
      <c r="CG121" s="25"/>
      <c r="CH121" s="25"/>
      <c r="CI121" s="25"/>
      <c r="CJ121" s="25"/>
      <c r="CK121" s="25"/>
      <c r="CL121" s="25"/>
      <c r="CM121" s="25"/>
      <c r="CN121" s="25"/>
      <c r="CO121" s="25"/>
      <c r="CP121" s="25"/>
      <c r="CQ121" s="25"/>
      <c r="CR121" s="25"/>
      <c r="CS121" s="25"/>
      <c r="CT121" s="25"/>
      <c r="CU121" s="25"/>
      <c r="CV121" s="25"/>
      <c r="CW121" s="25"/>
      <c r="CX121" s="25"/>
      <c r="CY121" s="25"/>
      <c r="CZ121" s="25"/>
      <c r="DA121" s="25"/>
      <c r="DB121" s="25"/>
      <c r="DC121" s="25"/>
      <c r="DD121" s="25"/>
      <c r="DE121" s="25"/>
      <c r="DF121" s="25"/>
      <c r="DG121" s="25"/>
      <c r="DH121" s="25"/>
      <c r="DI121" s="25"/>
      <c r="DJ121" s="25"/>
      <c r="DK121" s="25"/>
      <c r="DL121" s="25"/>
      <c r="DM121" s="25"/>
      <c r="DN121" s="25"/>
      <c r="DO121" s="25"/>
      <c r="DP121" s="25"/>
      <c r="DQ121" s="25"/>
      <c r="DR121" s="25"/>
      <c r="DS121" s="25"/>
      <c r="DT121" s="25"/>
      <c r="DU121" s="25"/>
      <c r="DV121" s="25"/>
      <c r="DW121" s="25"/>
      <c r="DX121" s="25"/>
      <c r="DY121" s="25"/>
      <c r="DZ121" s="25"/>
      <c r="EA121" s="25"/>
      <c r="EB121" s="25"/>
      <c r="EC121" s="25"/>
      <c r="ED121" s="25"/>
      <c r="EE121" s="25"/>
      <c r="EF121" s="25"/>
      <c r="EG121" s="25"/>
      <c r="EH121" s="25"/>
      <c r="EI121" s="25"/>
      <c r="EJ121" s="25"/>
      <c r="EK121" s="25"/>
      <c r="EL121" s="25"/>
      <c r="EM121" s="25"/>
      <c r="EN121" s="25"/>
      <c r="EO121" s="25"/>
      <c r="EP121" s="25"/>
      <c r="EQ121" s="25"/>
      <c r="ER121" s="25"/>
      <c r="ES121" s="25"/>
      <c r="ET121" s="25"/>
      <c r="EU121" s="25"/>
      <c r="EV121" s="25"/>
      <c r="EW121" s="25"/>
    </row>
    <row r="122" spans="1:153" ht="17.25" customHeight="1" x14ac:dyDescent="0.25">
      <c r="A122" s="25" t="s">
        <v>222</v>
      </c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  <c r="AU122" s="25"/>
      <c r="AV122" s="25"/>
      <c r="AW122" s="25"/>
      <c r="AX122" s="25"/>
      <c r="AY122" s="25"/>
      <c r="AZ122" s="25"/>
      <c r="BA122" s="25"/>
      <c r="BB122" s="25"/>
      <c r="BC122" s="25"/>
      <c r="BD122" s="25"/>
      <c r="BE122" s="25"/>
      <c r="BF122" s="25"/>
      <c r="BG122" s="25"/>
      <c r="BH122" s="25"/>
      <c r="BI122" s="25"/>
      <c r="BJ122" s="25"/>
      <c r="BK122" s="25"/>
      <c r="BL122" s="25"/>
      <c r="BM122" s="25"/>
      <c r="BN122" s="25"/>
      <c r="BO122" s="25"/>
      <c r="BP122" s="25"/>
      <c r="BQ122" s="25"/>
      <c r="BR122" s="25"/>
      <c r="BS122" s="25"/>
      <c r="BT122" s="25"/>
      <c r="BU122" s="25"/>
      <c r="BV122" s="25"/>
      <c r="BW122" s="25"/>
      <c r="BX122" s="25"/>
      <c r="BY122" s="25"/>
      <c r="BZ122" s="25"/>
      <c r="CA122" s="25"/>
      <c r="CB122" s="25"/>
      <c r="CC122" s="25"/>
      <c r="CD122" s="25"/>
      <c r="CE122" s="25"/>
      <c r="CF122" s="25"/>
      <c r="CG122" s="25"/>
      <c r="CH122" s="25"/>
      <c r="CI122" s="25"/>
      <c r="CJ122" s="25"/>
      <c r="CK122" s="25"/>
      <c r="CL122" s="25"/>
      <c r="CM122" s="25"/>
      <c r="CN122" s="25"/>
      <c r="CO122" s="25"/>
      <c r="CP122" s="25"/>
      <c r="CQ122" s="25"/>
      <c r="CR122" s="25"/>
      <c r="CS122" s="25"/>
      <c r="CT122" s="25"/>
      <c r="CU122" s="25"/>
      <c r="CV122" s="25"/>
      <c r="CW122" s="25"/>
      <c r="CX122" s="25"/>
      <c r="CY122" s="25"/>
      <c r="CZ122" s="25"/>
      <c r="DA122" s="25"/>
      <c r="DB122" s="25"/>
      <c r="DC122" s="25"/>
      <c r="DD122" s="25"/>
      <c r="DE122" s="25"/>
      <c r="DF122" s="25"/>
      <c r="DG122" s="25"/>
      <c r="DH122" s="25"/>
      <c r="DI122" s="25"/>
      <c r="DJ122" s="25"/>
      <c r="DK122" s="25"/>
      <c r="DL122" s="25"/>
      <c r="DM122" s="25"/>
      <c r="DN122" s="25"/>
      <c r="DO122" s="25"/>
      <c r="DP122" s="25"/>
      <c r="DQ122" s="25"/>
      <c r="DR122" s="25"/>
      <c r="DS122" s="25"/>
      <c r="DT122" s="25"/>
      <c r="DU122" s="25"/>
      <c r="DV122" s="25"/>
      <c r="DW122" s="25"/>
      <c r="DX122" s="25"/>
      <c r="DY122" s="25"/>
      <c r="DZ122" s="25"/>
      <c r="EA122" s="25"/>
      <c r="EB122" s="25"/>
      <c r="EC122" s="25"/>
      <c r="ED122" s="25"/>
      <c r="EE122" s="25"/>
      <c r="EF122" s="25"/>
      <c r="EG122" s="25"/>
      <c r="EH122" s="25"/>
      <c r="EI122" s="25"/>
      <c r="EJ122" s="25"/>
      <c r="EK122" s="25"/>
      <c r="EL122" s="25"/>
      <c r="EM122" s="25"/>
      <c r="EN122" s="25"/>
      <c r="EO122" s="25"/>
      <c r="EP122" s="25"/>
      <c r="EQ122" s="25"/>
      <c r="ER122" s="25"/>
      <c r="ES122" s="25"/>
      <c r="ET122" s="25"/>
      <c r="EU122" s="25"/>
      <c r="EV122" s="25"/>
      <c r="EW122" s="25"/>
    </row>
    <row r="123" spans="1:153" ht="17.25" customHeight="1" x14ac:dyDescent="0.25">
      <c r="A123" s="25" t="s">
        <v>223</v>
      </c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  <c r="AU123" s="25"/>
      <c r="AV123" s="25"/>
      <c r="AW123" s="25"/>
      <c r="AX123" s="25"/>
      <c r="AY123" s="25"/>
      <c r="AZ123" s="25"/>
      <c r="BA123" s="25"/>
      <c r="BB123" s="25"/>
      <c r="BC123" s="25"/>
      <c r="BD123" s="25"/>
      <c r="BE123" s="25"/>
      <c r="BF123" s="25"/>
      <c r="BG123" s="25"/>
      <c r="BH123" s="25"/>
      <c r="BI123" s="25"/>
      <c r="BJ123" s="25"/>
      <c r="BK123" s="25"/>
      <c r="BL123" s="25"/>
      <c r="BM123" s="25"/>
      <c r="BN123" s="25"/>
      <c r="BO123" s="25"/>
      <c r="BP123" s="25"/>
      <c r="BQ123" s="25"/>
      <c r="BR123" s="25"/>
      <c r="BS123" s="25"/>
      <c r="BT123" s="25"/>
      <c r="BU123" s="25"/>
      <c r="BV123" s="25"/>
      <c r="BW123" s="25"/>
      <c r="BX123" s="25"/>
      <c r="BY123" s="25"/>
      <c r="BZ123" s="25"/>
      <c r="CA123" s="25"/>
      <c r="CB123" s="25"/>
      <c r="CC123" s="25"/>
      <c r="CD123" s="25"/>
      <c r="CE123" s="25"/>
      <c r="CF123" s="25"/>
      <c r="CG123" s="25"/>
      <c r="CH123" s="25"/>
      <c r="CI123" s="25"/>
      <c r="CJ123" s="25"/>
      <c r="CK123" s="25"/>
      <c r="CL123" s="25"/>
      <c r="CM123" s="25"/>
      <c r="CN123" s="25"/>
      <c r="CO123" s="25"/>
      <c r="CP123" s="25"/>
      <c r="CQ123" s="25"/>
      <c r="CR123" s="25"/>
      <c r="CS123" s="25"/>
      <c r="CT123" s="25"/>
      <c r="CU123" s="25"/>
      <c r="CV123" s="25"/>
      <c r="CW123" s="25"/>
      <c r="CX123" s="25"/>
      <c r="CY123" s="25"/>
      <c r="CZ123" s="25"/>
      <c r="DA123" s="25"/>
      <c r="DB123" s="25"/>
      <c r="DC123" s="25"/>
      <c r="DD123" s="25"/>
      <c r="DE123" s="25"/>
      <c r="DF123" s="25"/>
      <c r="DG123" s="25"/>
      <c r="DH123" s="25"/>
      <c r="DI123" s="25"/>
      <c r="DJ123" s="25"/>
      <c r="DK123" s="25"/>
      <c r="DL123" s="25"/>
      <c r="DM123" s="25"/>
      <c r="DN123" s="25"/>
      <c r="DO123" s="25"/>
      <c r="DP123" s="25"/>
      <c r="DQ123" s="25"/>
      <c r="DR123" s="25"/>
      <c r="DS123" s="25"/>
      <c r="DT123" s="25"/>
      <c r="DU123" s="25"/>
      <c r="DV123" s="25"/>
      <c r="DW123" s="25"/>
      <c r="DX123" s="25"/>
      <c r="DY123" s="25"/>
      <c r="DZ123" s="25"/>
      <c r="EA123" s="25"/>
      <c r="EB123" s="25"/>
      <c r="EC123" s="25"/>
      <c r="ED123" s="25"/>
      <c r="EE123" s="25"/>
      <c r="EF123" s="25"/>
      <c r="EG123" s="25"/>
      <c r="EH123" s="25"/>
      <c r="EI123" s="25"/>
      <c r="EJ123" s="25"/>
      <c r="EK123" s="25"/>
      <c r="EL123" s="25"/>
      <c r="EM123" s="25"/>
      <c r="EN123" s="25"/>
      <c r="EO123" s="25"/>
      <c r="EP123" s="25"/>
      <c r="EQ123" s="25"/>
      <c r="ER123" s="25"/>
      <c r="ES123" s="25"/>
      <c r="ET123" s="25"/>
      <c r="EU123" s="25"/>
      <c r="EV123" s="25"/>
      <c r="EW123" s="25"/>
    </row>
    <row r="124" spans="1:153" ht="17.25" customHeight="1" x14ac:dyDescent="0.25">
      <c r="A124" s="25" t="s">
        <v>224</v>
      </c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  <c r="BC124" s="25"/>
      <c r="BD124" s="25"/>
      <c r="BE124" s="25"/>
      <c r="BF124" s="25"/>
      <c r="BG124" s="25"/>
      <c r="BH124" s="25"/>
      <c r="BI124" s="25"/>
      <c r="BJ124" s="25"/>
      <c r="BK124" s="25"/>
      <c r="BL124" s="25"/>
      <c r="BM124" s="25"/>
      <c r="BN124" s="25"/>
      <c r="BO124" s="25"/>
      <c r="BP124" s="25"/>
      <c r="BQ124" s="25"/>
      <c r="BR124" s="25"/>
      <c r="BS124" s="25"/>
      <c r="BT124" s="25"/>
      <c r="BU124" s="25"/>
      <c r="BV124" s="25"/>
      <c r="BW124" s="25"/>
      <c r="BX124" s="25"/>
      <c r="BY124" s="25"/>
      <c r="BZ124" s="25"/>
      <c r="CA124" s="25"/>
      <c r="CB124" s="25"/>
      <c r="CC124" s="25"/>
      <c r="CD124" s="25"/>
      <c r="CE124" s="25"/>
      <c r="CF124" s="25"/>
      <c r="CG124" s="25"/>
      <c r="CH124" s="25"/>
      <c r="CI124" s="25"/>
      <c r="CJ124" s="25"/>
      <c r="CK124" s="25"/>
      <c r="CL124" s="25"/>
      <c r="CM124" s="25"/>
      <c r="CN124" s="25"/>
      <c r="CO124" s="25"/>
      <c r="CP124" s="25"/>
      <c r="CQ124" s="25"/>
      <c r="CR124" s="25"/>
      <c r="CS124" s="25"/>
      <c r="CT124" s="25"/>
      <c r="CU124" s="25"/>
      <c r="CV124" s="25"/>
      <c r="CW124" s="25"/>
      <c r="CX124" s="25"/>
      <c r="CY124" s="25"/>
      <c r="CZ124" s="25"/>
      <c r="DA124" s="25"/>
      <c r="DB124" s="25"/>
      <c r="DC124" s="25"/>
      <c r="DD124" s="25"/>
      <c r="DE124" s="25"/>
      <c r="DF124" s="25"/>
      <c r="DG124" s="25"/>
      <c r="DH124" s="25"/>
      <c r="DI124" s="25"/>
      <c r="DJ124" s="25"/>
      <c r="DK124" s="25"/>
      <c r="DL124" s="25"/>
      <c r="DM124" s="25"/>
      <c r="DN124" s="25"/>
      <c r="DO124" s="25"/>
      <c r="DP124" s="25"/>
      <c r="DQ124" s="25"/>
      <c r="DR124" s="25"/>
      <c r="DS124" s="25"/>
      <c r="DT124" s="25"/>
      <c r="DU124" s="25"/>
      <c r="DV124" s="25"/>
      <c r="DW124" s="25"/>
      <c r="DX124" s="25"/>
      <c r="DY124" s="25"/>
      <c r="DZ124" s="25"/>
      <c r="EA124" s="25"/>
      <c r="EB124" s="25"/>
      <c r="EC124" s="25"/>
      <c r="ED124" s="25"/>
      <c r="EE124" s="25"/>
      <c r="EF124" s="25"/>
      <c r="EG124" s="25"/>
      <c r="EH124" s="25"/>
      <c r="EI124" s="25"/>
      <c r="EJ124" s="25"/>
      <c r="EK124" s="25"/>
      <c r="EL124" s="25"/>
      <c r="EM124" s="25"/>
      <c r="EN124" s="25"/>
      <c r="EO124" s="25"/>
      <c r="EP124" s="25"/>
      <c r="EQ124" s="25"/>
      <c r="ER124" s="25"/>
      <c r="ES124" s="25"/>
      <c r="ET124" s="25"/>
      <c r="EU124" s="25"/>
      <c r="EV124" s="25"/>
      <c r="EW124" s="25"/>
    </row>
    <row r="125" spans="1:153" ht="17.25" customHeight="1" x14ac:dyDescent="0.25">
      <c r="A125" s="25" t="s">
        <v>225</v>
      </c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  <c r="AU125" s="25"/>
      <c r="AV125" s="25"/>
      <c r="AW125" s="25"/>
      <c r="AX125" s="25"/>
      <c r="AY125" s="25"/>
      <c r="AZ125" s="25"/>
      <c r="BA125" s="25"/>
      <c r="BB125" s="25"/>
      <c r="BC125" s="25"/>
      <c r="BD125" s="25"/>
      <c r="BE125" s="25"/>
      <c r="BF125" s="25"/>
      <c r="BG125" s="25"/>
      <c r="BH125" s="25"/>
      <c r="BI125" s="25"/>
      <c r="BJ125" s="25"/>
      <c r="BK125" s="25"/>
      <c r="BL125" s="25"/>
      <c r="BM125" s="25"/>
      <c r="BN125" s="25"/>
      <c r="BO125" s="25"/>
      <c r="BP125" s="25"/>
      <c r="BQ125" s="25"/>
      <c r="BR125" s="25"/>
      <c r="BS125" s="25"/>
      <c r="BT125" s="25"/>
      <c r="BU125" s="25"/>
      <c r="BV125" s="25"/>
      <c r="BW125" s="25"/>
      <c r="BX125" s="25"/>
      <c r="BY125" s="25"/>
      <c r="BZ125" s="25"/>
      <c r="CA125" s="25"/>
      <c r="CB125" s="25"/>
      <c r="CC125" s="25"/>
      <c r="CD125" s="25"/>
      <c r="CE125" s="25"/>
      <c r="CF125" s="25"/>
      <c r="CG125" s="25"/>
      <c r="CH125" s="25"/>
      <c r="CI125" s="25"/>
      <c r="CJ125" s="25"/>
      <c r="CK125" s="25"/>
      <c r="CL125" s="25"/>
      <c r="CM125" s="25"/>
      <c r="CN125" s="25"/>
      <c r="CO125" s="25"/>
      <c r="CP125" s="25"/>
      <c r="CQ125" s="25"/>
      <c r="CR125" s="25"/>
      <c r="CS125" s="25"/>
      <c r="CT125" s="25"/>
      <c r="CU125" s="25"/>
      <c r="CV125" s="25"/>
      <c r="CW125" s="25"/>
      <c r="CX125" s="25"/>
      <c r="CY125" s="25"/>
      <c r="CZ125" s="25"/>
      <c r="DA125" s="25"/>
      <c r="DB125" s="25"/>
      <c r="DC125" s="25"/>
      <c r="DD125" s="25"/>
      <c r="DE125" s="25"/>
      <c r="DF125" s="25"/>
      <c r="DG125" s="25"/>
      <c r="DH125" s="25"/>
      <c r="DI125" s="25"/>
      <c r="DJ125" s="25"/>
      <c r="DK125" s="25"/>
      <c r="DL125" s="25"/>
      <c r="DM125" s="25"/>
      <c r="DN125" s="25"/>
      <c r="DO125" s="25"/>
      <c r="DP125" s="25"/>
      <c r="DQ125" s="25"/>
      <c r="DR125" s="25"/>
      <c r="DS125" s="25"/>
      <c r="DT125" s="25"/>
      <c r="DU125" s="25"/>
      <c r="DV125" s="25"/>
      <c r="DW125" s="25"/>
      <c r="DX125" s="25"/>
      <c r="DY125" s="25"/>
      <c r="DZ125" s="25"/>
      <c r="EA125" s="25"/>
      <c r="EB125" s="25"/>
      <c r="EC125" s="25"/>
      <c r="ED125" s="25"/>
      <c r="EE125" s="25"/>
      <c r="EF125" s="25"/>
      <c r="EG125" s="25"/>
      <c r="EH125" s="25"/>
      <c r="EI125" s="25"/>
      <c r="EJ125" s="25"/>
      <c r="EK125" s="25"/>
      <c r="EL125" s="25"/>
      <c r="EM125" s="25"/>
      <c r="EN125" s="25"/>
      <c r="EO125" s="25"/>
      <c r="EP125" s="25"/>
      <c r="EQ125" s="25"/>
      <c r="ER125" s="25"/>
      <c r="ES125" s="25"/>
      <c r="ET125" s="25"/>
      <c r="EU125" s="25"/>
      <c r="EV125" s="25"/>
      <c r="EW125" s="25"/>
    </row>
    <row r="126" spans="1:153" ht="17.25" customHeight="1" x14ac:dyDescent="0.25">
      <c r="A126" s="25" t="s">
        <v>226</v>
      </c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  <c r="AU126" s="25"/>
      <c r="AV126" s="25"/>
      <c r="AW126" s="25"/>
      <c r="AX126" s="25"/>
      <c r="AY126" s="25"/>
      <c r="AZ126" s="25"/>
      <c r="BA126" s="25"/>
      <c r="BB126" s="25"/>
      <c r="BC126" s="25"/>
      <c r="BD126" s="25"/>
      <c r="BE126" s="25"/>
      <c r="BF126" s="25"/>
      <c r="BG126" s="25"/>
      <c r="BH126" s="25"/>
      <c r="BI126" s="25"/>
      <c r="BJ126" s="25"/>
      <c r="BK126" s="25"/>
      <c r="BL126" s="25"/>
      <c r="BM126" s="25"/>
      <c r="BN126" s="25"/>
      <c r="BO126" s="25"/>
      <c r="BP126" s="25"/>
      <c r="BQ126" s="25"/>
      <c r="BR126" s="25"/>
      <c r="BS126" s="25"/>
      <c r="BT126" s="25"/>
      <c r="BU126" s="25"/>
      <c r="BV126" s="25"/>
      <c r="BW126" s="25"/>
      <c r="BX126" s="25"/>
      <c r="BY126" s="25"/>
      <c r="BZ126" s="25"/>
      <c r="CA126" s="25"/>
      <c r="CB126" s="25"/>
      <c r="CC126" s="25"/>
      <c r="CD126" s="25"/>
      <c r="CE126" s="25"/>
      <c r="CF126" s="25"/>
      <c r="CG126" s="25"/>
      <c r="CH126" s="25"/>
      <c r="CI126" s="25"/>
      <c r="CJ126" s="25"/>
      <c r="CK126" s="25"/>
      <c r="CL126" s="25"/>
      <c r="CM126" s="25"/>
      <c r="CN126" s="25"/>
      <c r="CO126" s="25"/>
      <c r="CP126" s="25"/>
      <c r="CQ126" s="25"/>
      <c r="CR126" s="25"/>
      <c r="CS126" s="25"/>
      <c r="CT126" s="25"/>
      <c r="CU126" s="25"/>
      <c r="CV126" s="25"/>
      <c r="CW126" s="25"/>
      <c r="CX126" s="25"/>
      <c r="CY126" s="25"/>
      <c r="CZ126" s="25"/>
      <c r="DA126" s="25"/>
      <c r="DB126" s="25"/>
      <c r="DC126" s="25"/>
      <c r="DD126" s="25"/>
      <c r="DE126" s="25"/>
      <c r="DF126" s="25"/>
      <c r="DG126" s="25"/>
      <c r="DH126" s="25"/>
      <c r="DI126" s="25"/>
      <c r="DJ126" s="25"/>
      <c r="DK126" s="25"/>
      <c r="DL126" s="25"/>
      <c r="DM126" s="25"/>
      <c r="DN126" s="25"/>
      <c r="DO126" s="25"/>
      <c r="DP126" s="25"/>
      <c r="DQ126" s="25"/>
      <c r="DR126" s="25"/>
      <c r="DS126" s="25"/>
      <c r="DT126" s="25"/>
      <c r="DU126" s="25"/>
      <c r="DV126" s="25"/>
      <c r="DW126" s="25"/>
      <c r="DX126" s="25"/>
      <c r="DY126" s="25"/>
      <c r="DZ126" s="25"/>
      <c r="EA126" s="25"/>
      <c r="EB126" s="25"/>
      <c r="EC126" s="25"/>
      <c r="ED126" s="25"/>
      <c r="EE126" s="25"/>
      <c r="EF126" s="25"/>
      <c r="EG126" s="25"/>
      <c r="EH126" s="25"/>
      <c r="EI126" s="25"/>
      <c r="EJ126" s="25"/>
      <c r="EK126" s="25"/>
      <c r="EL126" s="25"/>
      <c r="EM126" s="25"/>
      <c r="EN126" s="25"/>
      <c r="EO126" s="25"/>
      <c r="EP126" s="25"/>
      <c r="EQ126" s="25"/>
      <c r="ER126" s="25"/>
      <c r="ES126" s="25"/>
      <c r="ET126" s="25"/>
      <c r="EU126" s="25"/>
      <c r="EV126" s="25"/>
      <c r="EW126" s="25"/>
    </row>
    <row r="127" spans="1:153" ht="17.25" customHeight="1" x14ac:dyDescent="0.25">
      <c r="A127" s="25" t="s">
        <v>227</v>
      </c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  <c r="BC127" s="25"/>
      <c r="BD127" s="25"/>
      <c r="BE127" s="25"/>
      <c r="BF127" s="25"/>
      <c r="BG127" s="25"/>
      <c r="BH127" s="25"/>
      <c r="BI127" s="25"/>
      <c r="BJ127" s="25"/>
      <c r="BK127" s="25"/>
      <c r="BL127" s="25"/>
      <c r="BM127" s="25"/>
      <c r="BN127" s="25"/>
      <c r="BO127" s="25"/>
      <c r="BP127" s="25"/>
      <c r="BQ127" s="25"/>
      <c r="BR127" s="25"/>
      <c r="BS127" s="25"/>
      <c r="BT127" s="25"/>
      <c r="BU127" s="25"/>
      <c r="BV127" s="25"/>
      <c r="BW127" s="25"/>
      <c r="BX127" s="25"/>
      <c r="BY127" s="25"/>
      <c r="BZ127" s="25"/>
      <c r="CA127" s="25"/>
      <c r="CB127" s="25"/>
      <c r="CC127" s="25"/>
      <c r="CD127" s="25"/>
      <c r="CE127" s="25"/>
      <c r="CF127" s="25"/>
      <c r="CG127" s="25"/>
      <c r="CH127" s="25"/>
      <c r="CI127" s="25"/>
      <c r="CJ127" s="25"/>
      <c r="CK127" s="25"/>
      <c r="CL127" s="25"/>
      <c r="CM127" s="25"/>
      <c r="CN127" s="25"/>
      <c r="CO127" s="25"/>
      <c r="CP127" s="25"/>
      <c r="CQ127" s="25"/>
      <c r="CR127" s="25"/>
      <c r="CS127" s="25"/>
      <c r="CT127" s="25"/>
      <c r="CU127" s="25"/>
      <c r="CV127" s="25"/>
      <c r="CW127" s="25"/>
      <c r="CX127" s="25"/>
      <c r="CY127" s="25"/>
      <c r="CZ127" s="25"/>
      <c r="DA127" s="25"/>
      <c r="DB127" s="25"/>
      <c r="DC127" s="25"/>
      <c r="DD127" s="25"/>
      <c r="DE127" s="25"/>
      <c r="DF127" s="25"/>
      <c r="DG127" s="25"/>
      <c r="DH127" s="25"/>
      <c r="DI127" s="25"/>
      <c r="DJ127" s="25"/>
      <c r="DK127" s="25"/>
      <c r="DL127" s="25"/>
      <c r="DM127" s="25"/>
      <c r="DN127" s="25"/>
      <c r="DO127" s="25"/>
      <c r="DP127" s="25"/>
      <c r="DQ127" s="25"/>
      <c r="DR127" s="25"/>
      <c r="DS127" s="25"/>
      <c r="DT127" s="25"/>
      <c r="DU127" s="25"/>
      <c r="DV127" s="25"/>
      <c r="DW127" s="25"/>
      <c r="DX127" s="25"/>
      <c r="DY127" s="25"/>
      <c r="DZ127" s="25"/>
      <c r="EA127" s="25"/>
      <c r="EB127" s="25"/>
      <c r="EC127" s="25"/>
      <c r="ED127" s="25"/>
      <c r="EE127" s="25"/>
      <c r="EF127" s="25"/>
      <c r="EG127" s="25"/>
      <c r="EH127" s="25"/>
      <c r="EI127" s="25"/>
      <c r="EJ127" s="25"/>
      <c r="EK127" s="25"/>
      <c r="EL127" s="25"/>
      <c r="EM127" s="25"/>
      <c r="EN127" s="25"/>
      <c r="EO127" s="25"/>
      <c r="EP127" s="25"/>
      <c r="EQ127" s="25"/>
      <c r="ER127" s="25"/>
      <c r="ES127" s="25"/>
      <c r="ET127" s="25"/>
      <c r="EU127" s="25"/>
      <c r="EV127" s="25"/>
      <c r="EW127" s="25"/>
    </row>
    <row r="128" spans="1:153" ht="17.25" customHeight="1" x14ac:dyDescent="0.25">
      <c r="A128" s="25" t="s">
        <v>228</v>
      </c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  <c r="AU128" s="25"/>
      <c r="AV128" s="25"/>
      <c r="AW128" s="25"/>
      <c r="AX128" s="25"/>
      <c r="AY128" s="25"/>
      <c r="AZ128" s="25"/>
      <c r="BA128" s="25"/>
      <c r="BB128" s="25"/>
      <c r="BC128" s="25"/>
      <c r="BD128" s="25"/>
      <c r="BE128" s="25"/>
      <c r="BF128" s="25"/>
      <c r="BG128" s="25"/>
      <c r="BH128" s="25"/>
      <c r="BI128" s="25"/>
      <c r="BJ128" s="25"/>
      <c r="BK128" s="25"/>
      <c r="BL128" s="25"/>
      <c r="BM128" s="25"/>
      <c r="BN128" s="25"/>
      <c r="BO128" s="25"/>
      <c r="BP128" s="25"/>
      <c r="BQ128" s="25"/>
      <c r="BR128" s="25"/>
      <c r="BS128" s="25"/>
      <c r="BT128" s="25"/>
      <c r="BU128" s="25"/>
      <c r="BV128" s="25"/>
      <c r="BW128" s="25"/>
      <c r="BX128" s="25"/>
      <c r="BY128" s="25"/>
      <c r="BZ128" s="25"/>
      <c r="CA128" s="25"/>
      <c r="CB128" s="25"/>
      <c r="CC128" s="25"/>
      <c r="CD128" s="25"/>
      <c r="CE128" s="25"/>
      <c r="CF128" s="25"/>
      <c r="CG128" s="25"/>
      <c r="CH128" s="25"/>
      <c r="CI128" s="25"/>
      <c r="CJ128" s="25"/>
      <c r="CK128" s="25"/>
      <c r="CL128" s="25"/>
      <c r="CM128" s="25"/>
      <c r="CN128" s="25"/>
      <c r="CO128" s="25"/>
      <c r="CP128" s="25"/>
      <c r="CQ128" s="25"/>
      <c r="CR128" s="25"/>
      <c r="CS128" s="25"/>
      <c r="CT128" s="25"/>
      <c r="CU128" s="25"/>
      <c r="CV128" s="25"/>
      <c r="CW128" s="25"/>
      <c r="CX128" s="25"/>
      <c r="CY128" s="25"/>
      <c r="CZ128" s="25"/>
      <c r="DA128" s="25"/>
      <c r="DB128" s="25"/>
      <c r="DC128" s="25"/>
      <c r="DD128" s="25"/>
      <c r="DE128" s="25"/>
      <c r="DF128" s="25"/>
      <c r="DG128" s="25"/>
      <c r="DH128" s="25"/>
      <c r="DI128" s="25"/>
      <c r="DJ128" s="25"/>
      <c r="DK128" s="25"/>
      <c r="DL128" s="25"/>
      <c r="DM128" s="25"/>
      <c r="DN128" s="25"/>
      <c r="DO128" s="25"/>
      <c r="DP128" s="25"/>
      <c r="DQ128" s="25"/>
      <c r="DR128" s="25"/>
      <c r="DS128" s="25"/>
      <c r="DT128" s="25"/>
      <c r="DU128" s="25"/>
      <c r="DV128" s="25"/>
      <c r="DW128" s="25"/>
      <c r="DX128" s="25"/>
      <c r="DY128" s="25"/>
      <c r="DZ128" s="25"/>
      <c r="EA128" s="25"/>
      <c r="EB128" s="25"/>
      <c r="EC128" s="25"/>
      <c r="ED128" s="25"/>
      <c r="EE128" s="25"/>
      <c r="EF128" s="25"/>
      <c r="EG128" s="25"/>
      <c r="EH128" s="25"/>
      <c r="EI128" s="25"/>
      <c r="EJ128" s="25"/>
      <c r="EK128" s="25"/>
      <c r="EL128" s="25"/>
      <c r="EM128" s="25"/>
      <c r="EN128" s="25"/>
      <c r="EO128" s="25"/>
      <c r="EP128" s="25"/>
      <c r="EQ128" s="25"/>
      <c r="ER128" s="25"/>
      <c r="ES128" s="25"/>
      <c r="ET128" s="25"/>
      <c r="EU128" s="25"/>
      <c r="EV128" s="25"/>
      <c r="EW128" s="25"/>
    </row>
    <row r="129" spans="1:153" ht="17.25" customHeight="1" x14ac:dyDescent="0.25">
      <c r="A129" s="25" t="s">
        <v>229</v>
      </c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  <c r="AU129" s="25"/>
      <c r="AV129" s="25"/>
      <c r="AW129" s="25"/>
      <c r="AX129" s="25"/>
      <c r="AY129" s="25"/>
      <c r="AZ129" s="25"/>
      <c r="BA129" s="25"/>
      <c r="BB129" s="25"/>
      <c r="BC129" s="25"/>
      <c r="BD129" s="25"/>
      <c r="BE129" s="25"/>
      <c r="BF129" s="25"/>
      <c r="BG129" s="25"/>
      <c r="BH129" s="25"/>
      <c r="BI129" s="25"/>
      <c r="BJ129" s="25"/>
      <c r="BK129" s="25"/>
      <c r="BL129" s="25"/>
      <c r="BM129" s="25"/>
      <c r="BN129" s="25"/>
      <c r="BO129" s="25"/>
      <c r="BP129" s="25"/>
      <c r="BQ129" s="25"/>
      <c r="BR129" s="25"/>
      <c r="BS129" s="25"/>
      <c r="BT129" s="25"/>
      <c r="BU129" s="25"/>
      <c r="BV129" s="25"/>
      <c r="BW129" s="25"/>
      <c r="BX129" s="25"/>
      <c r="BY129" s="25"/>
      <c r="BZ129" s="25"/>
      <c r="CA129" s="25"/>
      <c r="CB129" s="25"/>
      <c r="CC129" s="25"/>
      <c r="CD129" s="25"/>
      <c r="CE129" s="25"/>
      <c r="CF129" s="25"/>
      <c r="CG129" s="25"/>
      <c r="CH129" s="25"/>
      <c r="CI129" s="25"/>
      <c r="CJ129" s="25"/>
      <c r="CK129" s="25"/>
      <c r="CL129" s="25"/>
      <c r="CM129" s="25"/>
      <c r="CN129" s="25"/>
      <c r="CO129" s="25"/>
      <c r="CP129" s="25"/>
      <c r="CQ129" s="25"/>
      <c r="CR129" s="25"/>
      <c r="CS129" s="25"/>
      <c r="CT129" s="25"/>
      <c r="CU129" s="25"/>
      <c r="CV129" s="25"/>
      <c r="CW129" s="25"/>
      <c r="CX129" s="25"/>
      <c r="CY129" s="25"/>
      <c r="CZ129" s="25"/>
      <c r="DA129" s="25"/>
      <c r="DB129" s="25"/>
      <c r="DC129" s="25"/>
      <c r="DD129" s="25"/>
      <c r="DE129" s="25"/>
      <c r="DF129" s="25"/>
      <c r="DG129" s="25"/>
      <c r="DH129" s="25"/>
      <c r="DI129" s="25"/>
      <c r="DJ129" s="25"/>
      <c r="DK129" s="25"/>
      <c r="DL129" s="25"/>
      <c r="DM129" s="25"/>
      <c r="DN129" s="25"/>
      <c r="DO129" s="25"/>
      <c r="DP129" s="25"/>
      <c r="DQ129" s="25"/>
      <c r="DR129" s="25"/>
      <c r="DS129" s="25"/>
      <c r="DT129" s="25"/>
      <c r="DU129" s="25"/>
      <c r="DV129" s="25"/>
      <c r="DW129" s="25"/>
      <c r="DX129" s="25"/>
      <c r="DY129" s="25"/>
      <c r="DZ129" s="25"/>
      <c r="EA129" s="25"/>
      <c r="EB129" s="25"/>
      <c r="EC129" s="25"/>
      <c r="ED129" s="25"/>
      <c r="EE129" s="25"/>
      <c r="EF129" s="25"/>
      <c r="EG129" s="25"/>
      <c r="EH129" s="25"/>
      <c r="EI129" s="25"/>
      <c r="EJ129" s="25"/>
      <c r="EK129" s="25"/>
      <c r="EL129" s="25"/>
      <c r="EM129" s="25"/>
      <c r="EN129" s="25"/>
      <c r="EO129" s="25"/>
      <c r="EP129" s="25"/>
      <c r="EQ129" s="25"/>
      <c r="ER129" s="25"/>
      <c r="ES129" s="25"/>
      <c r="ET129" s="25"/>
      <c r="EU129" s="25"/>
      <c r="EV129" s="25"/>
      <c r="EW129" s="25"/>
    </row>
    <row r="130" spans="1:153" ht="17.25" customHeight="1" x14ac:dyDescent="0.25">
      <c r="A130" s="25" t="s">
        <v>230</v>
      </c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  <c r="BC130" s="25"/>
      <c r="BD130" s="25"/>
      <c r="BE130" s="25"/>
      <c r="BF130" s="25"/>
      <c r="BG130" s="25"/>
      <c r="BH130" s="25"/>
      <c r="BI130" s="25"/>
      <c r="BJ130" s="25"/>
      <c r="BK130" s="25"/>
      <c r="BL130" s="25"/>
      <c r="BM130" s="25"/>
      <c r="BN130" s="25"/>
      <c r="BO130" s="25"/>
      <c r="BP130" s="25"/>
      <c r="BQ130" s="25"/>
      <c r="BR130" s="25"/>
      <c r="BS130" s="25"/>
      <c r="BT130" s="25"/>
      <c r="BU130" s="25"/>
      <c r="BV130" s="25"/>
      <c r="BW130" s="25"/>
      <c r="BX130" s="25"/>
      <c r="BY130" s="25"/>
      <c r="BZ130" s="25"/>
      <c r="CA130" s="25"/>
      <c r="CB130" s="25"/>
      <c r="CC130" s="25"/>
      <c r="CD130" s="25"/>
      <c r="CE130" s="25"/>
      <c r="CF130" s="25"/>
      <c r="CG130" s="25"/>
      <c r="CH130" s="25"/>
      <c r="CI130" s="25"/>
      <c r="CJ130" s="25"/>
      <c r="CK130" s="25"/>
      <c r="CL130" s="25"/>
      <c r="CM130" s="25"/>
      <c r="CN130" s="25"/>
      <c r="CO130" s="25"/>
      <c r="CP130" s="25"/>
      <c r="CQ130" s="25"/>
      <c r="CR130" s="25"/>
      <c r="CS130" s="25"/>
      <c r="CT130" s="25"/>
      <c r="CU130" s="25"/>
      <c r="CV130" s="25"/>
      <c r="CW130" s="25"/>
      <c r="CX130" s="25"/>
      <c r="CY130" s="25"/>
      <c r="CZ130" s="25"/>
      <c r="DA130" s="25"/>
      <c r="DB130" s="25"/>
      <c r="DC130" s="25"/>
      <c r="DD130" s="25"/>
      <c r="DE130" s="25"/>
      <c r="DF130" s="25"/>
      <c r="DG130" s="25"/>
      <c r="DH130" s="25"/>
      <c r="DI130" s="25"/>
      <c r="DJ130" s="25"/>
      <c r="DK130" s="25"/>
      <c r="DL130" s="25"/>
      <c r="DM130" s="25"/>
      <c r="DN130" s="25"/>
      <c r="DO130" s="25"/>
      <c r="DP130" s="25"/>
      <c r="DQ130" s="25"/>
      <c r="DR130" s="25"/>
      <c r="DS130" s="25"/>
      <c r="DT130" s="25"/>
      <c r="DU130" s="25"/>
      <c r="DV130" s="25"/>
      <c r="DW130" s="25"/>
      <c r="DX130" s="25"/>
      <c r="DY130" s="25"/>
      <c r="DZ130" s="25"/>
      <c r="EA130" s="25"/>
      <c r="EB130" s="25"/>
      <c r="EC130" s="25"/>
      <c r="ED130" s="25"/>
      <c r="EE130" s="25"/>
      <c r="EF130" s="25"/>
      <c r="EG130" s="25"/>
      <c r="EH130" s="25"/>
      <c r="EI130" s="25"/>
      <c r="EJ130" s="25"/>
      <c r="EK130" s="25"/>
      <c r="EL130" s="25"/>
      <c r="EM130" s="25"/>
      <c r="EN130" s="25"/>
      <c r="EO130" s="25"/>
      <c r="EP130" s="25"/>
      <c r="EQ130" s="25"/>
      <c r="ER130" s="25"/>
      <c r="ES130" s="25"/>
      <c r="ET130" s="25"/>
      <c r="EU130" s="25"/>
      <c r="EV130" s="25"/>
      <c r="EW130" s="25"/>
    </row>
    <row r="131" spans="1:153" ht="17.25" customHeight="1" x14ac:dyDescent="0.25">
      <c r="A131" s="25" t="s">
        <v>231</v>
      </c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  <c r="AU131" s="25"/>
      <c r="AV131" s="25"/>
      <c r="AW131" s="25"/>
      <c r="AX131" s="25"/>
      <c r="AY131" s="25"/>
      <c r="AZ131" s="25"/>
      <c r="BA131" s="25"/>
      <c r="BB131" s="25"/>
      <c r="BC131" s="25"/>
      <c r="BD131" s="25"/>
      <c r="BE131" s="25"/>
      <c r="BF131" s="25"/>
      <c r="BG131" s="25"/>
      <c r="BH131" s="25"/>
      <c r="BI131" s="25"/>
      <c r="BJ131" s="25"/>
      <c r="BK131" s="25"/>
      <c r="BL131" s="25"/>
      <c r="BM131" s="25"/>
      <c r="BN131" s="25"/>
      <c r="BO131" s="25"/>
      <c r="BP131" s="25"/>
      <c r="BQ131" s="25"/>
      <c r="BR131" s="25"/>
      <c r="BS131" s="25"/>
      <c r="BT131" s="25"/>
      <c r="BU131" s="25"/>
      <c r="BV131" s="25"/>
      <c r="BW131" s="25"/>
      <c r="BX131" s="25"/>
      <c r="BY131" s="25"/>
      <c r="BZ131" s="25"/>
      <c r="CA131" s="25"/>
      <c r="CB131" s="25"/>
      <c r="CC131" s="25"/>
      <c r="CD131" s="25"/>
      <c r="CE131" s="25"/>
      <c r="CF131" s="25"/>
      <c r="CG131" s="25"/>
      <c r="CH131" s="25"/>
      <c r="CI131" s="25"/>
      <c r="CJ131" s="25"/>
      <c r="CK131" s="25"/>
      <c r="CL131" s="25"/>
      <c r="CM131" s="25"/>
      <c r="CN131" s="25"/>
      <c r="CO131" s="25"/>
      <c r="CP131" s="25"/>
      <c r="CQ131" s="25"/>
      <c r="CR131" s="25"/>
      <c r="CS131" s="25"/>
      <c r="CT131" s="25"/>
      <c r="CU131" s="25"/>
      <c r="CV131" s="25"/>
      <c r="CW131" s="25"/>
      <c r="CX131" s="25"/>
      <c r="CY131" s="25"/>
      <c r="CZ131" s="25"/>
      <c r="DA131" s="25"/>
      <c r="DB131" s="25"/>
      <c r="DC131" s="25"/>
      <c r="DD131" s="25"/>
      <c r="DE131" s="25"/>
      <c r="DF131" s="25"/>
      <c r="DG131" s="25"/>
      <c r="DH131" s="25"/>
      <c r="DI131" s="25"/>
      <c r="DJ131" s="25"/>
      <c r="DK131" s="25"/>
      <c r="DL131" s="25"/>
      <c r="DM131" s="25"/>
      <c r="DN131" s="25"/>
      <c r="DO131" s="25"/>
      <c r="DP131" s="25"/>
      <c r="DQ131" s="25"/>
      <c r="DR131" s="25"/>
      <c r="DS131" s="25"/>
      <c r="DT131" s="25"/>
      <c r="DU131" s="25"/>
      <c r="DV131" s="25"/>
      <c r="DW131" s="25"/>
      <c r="DX131" s="25"/>
      <c r="DY131" s="25"/>
      <c r="DZ131" s="25"/>
      <c r="EA131" s="25"/>
      <c r="EB131" s="25"/>
      <c r="EC131" s="25"/>
      <c r="ED131" s="25"/>
      <c r="EE131" s="25"/>
      <c r="EF131" s="25"/>
      <c r="EG131" s="25"/>
      <c r="EH131" s="25"/>
      <c r="EI131" s="25"/>
      <c r="EJ131" s="25"/>
      <c r="EK131" s="25"/>
      <c r="EL131" s="25"/>
      <c r="EM131" s="25"/>
      <c r="EN131" s="25"/>
      <c r="EO131" s="25"/>
      <c r="EP131" s="25"/>
      <c r="EQ131" s="25"/>
      <c r="ER131" s="25"/>
      <c r="ES131" s="25"/>
      <c r="ET131" s="25"/>
      <c r="EU131" s="25"/>
      <c r="EV131" s="25"/>
      <c r="EW131" s="25"/>
    </row>
    <row r="132" spans="1:153" ht="17.25" customHeight="1" x14ac:dyDescent="0.25">
      <c r="A132" s="25" t="s">
        <v>120</v>
      </c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  <c r="AU132" s="25"/>
      <c r="AV132" s="25"/>
      <c r="AW132" s="25"/>
      <c r="AX132" s="25"/>
      <c r="AY132" s="25"/>
      <c r="AZ132" s="25"/>
      <c r="BA132" s="25"/>
      <c r="BB132" s="25"/>
      <c r="BC132" s="25"/>
      <c r="BD132" s="25"/>
      <c r="BE132" s="25"/>
      <c r="BF132" s="25"/>
      <c r="BG132" s="25"/>
      <c r="BH132" s="25"/>
      <c r="BI132" s="25"/>
      <c r="BJ132" s="25"/>
      <c r="BK132" s="25"/>
      <c r="BL132" s="25"/>
      <c r="BM132" s="25"/>
      <c r="BN132" s="25"/>
      <c r="BO132" s="25"/>
      <c r="BP132" s="25"/>
      <c r="BQ132" s="25"/>
      <c r="BR132" s="25"/>
      <c r="BS132" s="25"/>
      <c r="BT132" s="25"/>
      <c r="BU132" s="25"/>
      <c r="BV132" s="25"/>
      <c r="BW132" s="25"/>
      <c r="BX132" s="25"/>
      <c r="BY132" s="25"/>
      <c r="BZ132" s="25"/>
      <c r="CA132" s="25"/>
      <c r="CB132" s="25"/>
      <c r="CC132" s="25"/>
      <c r="CD132" s="25"/>
      <c r="CE132" s="25"/>
      <c r="CF132" s="25"/>
      <c r="CG132" s="25"/>
      <c r="CH132" s="25"/>
      <c r="CI132" s="25"/>
      <c r="CJ132" s="25"/>
      <c r="CK132" s="25"/>
      <c r="CL132" s="25"/>
      <c r="CM132" s="25"/>
      <c r="CN132" s="25"/>
      <c r="CO132" s="25"/>
      <c r="CP132" s="25"/>
      <c r="CQ132" s="25"/>
      <c r="CR132" s="25"/>
      <c r="CS132" s="25"/>
      <c r="CT132" s="25"/>
      <c r="CU132" s="25"/>
      <c r="CV132" s="25"/>
      <c r="CW132" s="25"/>
      <c r="CX132" s="25"/>
      <c r="CY132" s="25"/>
      <c r="CZ132" s="25"/>
      <c r="DA132" s="25"/>
      <c r="DB132" s="25"/>
      <c r="DC132" s="25"/>
      <c r="DD132" s="25"/>
      <c r="DE132" s="25"/>
      <c r="DF132" s="25"/>
      <c r="DG132" s="25"/>
      <c r="DH132" s="25"/>
      <c r="DI132" s="25"/>
      <c r="DJ132" s="25"/>
      <c r="DK132" s="25"/>
      <c r="DL132" s="25"/>
      <c r="DM132" s="25"/>
      <c r="DN132" s="25"/>
      <c r="DO132" s="25"/>
      <c r="DP132" s="25"/>
      <c r="DQ132" s="25"/>
      <c r="DR132" s="25"/>
      <c r="DS132" s="25"/>
      <c r="DT132" s="25"/>
      <c r="DU132" s="25"/>
      <c r="DV132" s="25"/>
      <c r="DW132" s="25"/>
      <c r="DX132" s="25"/>
      <c r="DY132" s="25"/>
      <c r="DZ132" s="25"/>
      <c r="EA132" s="25"/>
      <c r="EB132" s="25"/>
      <c r="EC132" s="25"/>
      <c r="ED132" s="25"/>
      <c r="EE132" s="25"/>
      <c r="EF132" s="25"/>
      <c r="EG132" s="25"/>
      <c r="EH132" s="25"/>
      <c r="EI132" s="25"/>
      <c r="EJ132" s="25"/>
      <c r="EK132" s="25"/>
      <c r="EL132" s="25"/>
      <c r="EM132" s="25"/>
      <c r="EN132" s="25"/>
      <c r="EO132" s="25"/>
      <c r="EP132" s="25"/>
      <c r="EQ132" s="25"/>
      <c r="ER132" s="25"/>
      <c r="ES132" s="25"/>
      <c r="ET132" s="25"/>
      <c r="EU132" s="25"/>
      <c r="EV132" s="25"/>
      <c r="EW132" s="25"/>
    </row>
    <row r="133" spans="1:153" ht="17.25" customHeight="1" x14ac:dyDescent="0.25">
      <c r="A133" s="25" t="s">
        <v>232</v>
      </c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  <c r="BC133" s="25"/>
      <c r="BD133" s="25"/>
      <c r="BE133" s="25"/>
      <c r="BF133" s="25"/>
      <c r="BG133" s="25"/>
      <c r="BH133" s="25"/>
      <c r="BI133" s="25"/>
      <c r="BJ133" s="25"/>
      <c r="BK133" s="25"/>
      <c r="BL133" s="25"/>
      <c r="BM133" s="25"/>
      <c r="BN133" s="25"/>
      <c r="BO133" s="25"/>
      <c r="BP133" s="25"/>
      <c r="BQ133" s="25"/>
      <c r="BR133" s="25"/>
      <c r="BS133" s="25"/>
      <c r="BT133" s="25"/>
      <c r="BU133" s="25"/>
      <c r="BV133" s="25"/>
      <c r="BW133" s="25"/>
      <c r="BX133" s="25"/>
      <c r="BY133" s="25"/>
      <c r="BZ133" s="25"/>
      <c r="CA133" s="25"/>
      <c r="CB133" s="25"/>
      <c r="CC133" s="25"/>
      <c r="CD133" s="25"/>
      <c r="CE133" s="25"/>
      <c r="CF133" s="25"/>
      <c r="CG133" s="25"/>
      <c r="CH133" s="25"/>
      <c r="CI133" s="25"/>
      <c r="CJ133" s="25"/>
      <c r="CK133" s="25"/>
      <c r="CL133" s="25"/>
      <c r="CM133" s="25"/>
      <c r="CN133" s="25"/>
      <c r="CO133" s="25"/>
      <c r="CP133" s="25"/>
      <c r="CQ133" s="25"/>
      <c r="CR133" s="25"/>
      <c r="CS133" s="25"/>
      <c r="CT133" s="25"/>
      <c r="CU133" s="25"/>
      <c r="CV133" s="25"/>
      <c r="CW133" s="25"/>
      <c r="CX133" s="25"/>
      <c r="CY133" s="25"/>
      <c r="CZ133" s="25"/>
      <c r="DA133" s="25"/>
      <c r="DB133" s="25"/>
      <c r="DC133" s="25"/>
      <c r="DD133" s="25"/>
      <c r="DE133" s="25"/>
      <c r="DF133" s="25"/>
      <c r="DG133" s="25"/>
      <c r="DH133" s="25"/>
      <c r="DI133" s="25"/>
      <c r="DJ133" s="25"/>
      <c r="DK133" s="25"/>
      <c r="DL133" s="25"/>
      <c r="DM133" s="25"/>
      <c r="DN133" s="25"/>
      <c r="DO133" s="25"/>
      <c r="DP133" s="25"/>
      <c r="DQ133" s="25"/>
      <c r="DR133" s="25"/>
      <c r="DS133" s="25"/>
      <c r="DT133" s="25"/>
      <c r="DU133" s="25"/>
      <c r="DV133" s="25"/>
      <c r="DW133" s="25"/>
      <c r="DX133" s="25"/>
      <c r="DY133" s="25"/>
      <c r="DZ133" s="25"/>
      <c r="EA133" s="25"/>
      <c r="EB133" s="25"/>
      <c r="EC133" s="25"/>
      <c r="ED133" s="25"/>
      <c r="EE133" s="25"/>
      <c r="EF133" s="25"/>
      <c r="EG133" s="25"/>
      <c r="EH133" s="25"/>
      <c r="EI133" s="25"/>
      <c r="EJ133" s="25"/>
      <c r="EK133" s="25"/>
      <c r="EL133" s="25"/>
      <c r="EM133" s="25"/>
      <c r="EN133" s="25"/>
      <c r="EO133" s="25"/>
      <c r="EP133" s="25"/>
      <c r="EQ133" s="25"/>
      <c r="ER133" s="25"/>
      <c r="ES133" s="25"/>
      <c r="ET133" s="25"/>
      <c r="EU133" s="25"/>
      <c r="EV133" s="25"/>
      <c r="EW133" s="25"/>
    </row>
    <row r="134" spans="1:153" ht="17.25" customHeight="1" x14ac:dyDescent="0.25">
      <c r="A134" s="25" t="s">
        <v>233</v>
      </c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AU134" s="25"/>
      <c r="AV134" s="25"/>
      <c r="AW134" s="25"/>
      <c r="AX134" s="25"/>
      <c r="AY134" s="25"/>
      <c r="AZ134" s="25"/>
      <c r="BA134" s="25"/>
      <c r="BB134" s="25"/>
      <c r="BC134" s="25"/>
      <c r="BD134" s="25"/>
      <c r="BE134" s="25"/>
      <c r="BF134" s="25"/>
      <c r="BG134" s="25"/>
      <c r="BH134" s="25"/>
      <c r="BI134" s="25"/>
      <c r="BJ134" s="25"/>
      <c r="BK134" s="25"/>
      <c r="BL134" s="25"/>
      <c r="BM134" s="25"/>
      <c r="BN134" s="25"/>
      <c r="BO134" s="25"/>
      <c r="BP134" s="25"/>
      <c r="BQ134" s="25"/>
      <c r="BR134" s="25"/>
      <c r="BS134" s="25"/>
      <c r="BT134" s="25"/>
      <c r="BU134" s="25"/>
      <c r="BV134" s="25"/>
      <c r="BW134" s="25"/>
      <c r="BX134" s="25"/>
      <c r="BY134" s="25"/>
      <c r="BZ134" s="25"/>
      <c r="CA134" s="25"/>
      <c r="CB134" s="25"/>
      <c r="CC134" s="25"/>
      <c r="CD134" s="25"/>
      <c r="CE134" s="25"/>
      <c r="CF134" s="25"/>
      <c r="CG134" s="25"/>
      <c r="CH134" s="25"/>
      <c r="CI134" s="25"/>
      <c r="CJ134" s="25"/>
      <c r="CK134" s="25"/>
      <c r="CL134" s="25"/>
      <c r="CM134" s="25"/>
      <c r="CN134" s="25"/>
      <c r="CO134" s="25"/>
      <c r="CP134" s="25"/>
      <c r="CQ134" s="25"/>
      <c r="CR134" s="25"/>
      <c r="CS134" s="25"/>
      <c r="CT134" s="25"/>
      <c r="CU134" s="25"/>
      <c r="CV134" s="25"/>
      <c r="CW134" s="25"/>
      <c r="CX134" s="25"/>
      <c r="CY134" s="25"/>
      <c r="CZ134" s="25"/>
      <c r="DA134" s="25"/>
      <c r="DB134" s="25"/>
      <c r="DC134" s="25"/>
      <c r="DD134" s="25"/>
      <c r="DE134" s="25"/>
      <c r="DF134" s="25"/>
      <c r="DG134" s="25"/>
      <c r="DH134" s="25"/>
      <c r="DI134" s="25"/>
      <c r="DJ134" s="25"/>
      <c r="DK134" s="25"/>
      <c r="DL134" s="25"/>
      <c r="DM134" s="25"/>
      <c r="DN134" s="25"/>
      <c r="DO134" s="25"/>
      <c r="DP134" s="25"/>
      <c r="DQ134" s="25"/>
      <c r="DR134" s="25"/>
      <c r="DS134" s="25"/>
      <c r="DT134" s="25"/>
      <c r="DU134" s="25"/>
      <c r="DV134" s="25"/>
      <c r="DW134" s="25"/>
      <c r="DX134" s="25"/>
      <c r="DY134" s="25"/>
      <c r="DZ134" s="25"/>
      <c r="EA134" s="25"/>
      <c r="EB134" s="25"/>
      <c r="EC134" s="25"/>
      <c r="ED134" s="25"/>
      <c r="EE134" s="25"/>
      <c r="EF134" s="25"/>
      <c r="EG134" s="25"/>
      <c r="EH134" s="25"/>
      <c r="EI134" s="25"/>
      <c r="EJ134" s="25"/>
      <c r="EK134" s="25"/>
      <c r="EL134" s="25"/>
      <c r="EM134" s="25"/>
      <c r="EN134" s="25"/>
      <c r="EO134" s="25"/>
      <c r="EP134" s="25"/>
      <c r="EQ134" s="25"/>
      <c r="ER134" s="25"/>
      <c r="ES134" s="25"/>
      <c r="ET134" s="25"/>
      <c r="EU134" s="25"/>
      <c r="EV134" s="25"/>
      <c r="EW134" s="25"/>
    </row>
    <row r="135" spans="1:153" ht="17.25" customHeight="1" x14ac:dyDescent="0.25">
      <c r="A135" s="25" t="s">
        <v>234</v>
      </c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AY135" s="25"/>
      <c r="AZ135" s="25"/>
      <c r="BA135" s="25"/>
      <c r="BB135" s="25"/>
      <c r="BC135" s="25"/>
      <c r="BD135" s="25"/>
      <c r="BE135" s="25"/>
      <c r="BF135" s="25"/>
      <c r="BG135" s="25"/>
      <c r="BH135" s="25"/>
      <c r="BI135" s="25"/>
      <c r="BJ135" s="25"/>
      <c r="BK135" s="25"/>
      <c r="BL135" s="25"/>
      <c r="BM135" s="25"/>
      <c r="BN135" s="25"/>
      <c r="BO135" s="25"/>
      <c r="BP135" s="25"/>
      <c r="BQ135" s="25"/>
      <c r="BR135" s="25"/>
      <c r="BS135" s="25"/>
      <c r="BT135" s="25"/>
      <c r="BU135" s="25"/>
      <c r="BV135" s="25"/>
      <c r="BW135" s="25"/>
      <c r="BX135" s="25"/>
      <c r="BY135" s="25"/>
      <c r="BZ135" s="25"/>
      <c r="CA135" s="25"/>
      <c r="CB135" s="25"/>
      <c r="CC135" s="25"/>
      <c r="CD135" s="25"/>
      <c r="CE135" s="25"/>
      <c r="CF135" s="25"/>
      <c r="CG135" s="25"/>
      <c r="CH135" s="25"/>
      <c r="CI135" s="25"/>
      <c r="CJ135" s="25"/>
      <c r="CK135" s="25"/>
      <c r="CL135" s="25"/>
      <c r="CM135" s="25"/>
      <c r="CN135" s="25"/>
      <c r="CO135" s="25"/>
      <c r="CP135" s="25"/>
      <c r="CQ135" s="25"/>
      <c r="CR135" s="25"/>
      <c r="CS135" s="25"/>
      <c r="CT135" s="25"/>
      <c r="CU135" s="25"/>
      <c r="CV135" s="25"/>
      <c r="CW135" s="25"/>
      <c r="CX135" s="25"/>
      <c r="CY135" s="25"/>
      <c r="CZ135" s="25"/>
      <c r="DA135" s="25"/>
      <c r="DB135" s="25"/>
      <c r="DC135" s="25"/>
      <c r="DD135" s="25"/>
      <c r="DE135" s="25"/>
      <c r="DF135" s="25"/>
      <c r="DG135" s="25"/>
      <c r="DH135" s="25"/>
      <c r="DI135" s="25"/>
      <c r="DJ135" s="25"/>
      <c r="DK135" s="25"/>
      <c r="DL135" s="25"/>
      <c r="DM135" s="25"/>
      <c r="DN135" s="25"/>
      <c r="DO135" s="25"/>
      <c r="DP135" s="25"/>
      <c r="DQ135" s="25"/>
      <c r="DR135" s="25"/>
      <c r="DS135" s="25"/>
      <c r="DT135" s="25"/>
      <c r="DU135" s="25"/>
      <c r="DV135" s="25"/>
      <c r="DW135" s="25"/>
      <c r="DX135" s="25"/>
      <c r="DY135" s="25"/>
      <c r="DZ135" s="25"/>
      <c r="EA135" s="25"/>
      <c r="EB135" s="25"/>
      <c r="EC135" s="25"/>
      <c r="ED135" s="25"/>
      <c r="EE135" s="25"/>
      <c r="EF135" s="25"/>
      <c r="EG135" s="25"/>
      <c r="EH135" s="25"/>
      <c r="EI135" s="25"/>
      <c r="EJ135" s="25"/>
      <c r="EK135" s="25"/>
      <c r="EL135" s="25"/>
      <c r="EM135" s="25"/>
      <c r="EN135" s="25"/>
      <c r="EO135" s="25"/>
      <c r="EP135" s="25"/>
      <c r="EQ135" s="25"/>
      <c r="ER135" s="25"/>
      <c r="ES135" s="25"/>
      <c r="ET135" s="25"/>
      <c r="EU135" s="25"/>
      <c r="EV135" s="25"/>
      <c r="EW135" s="25"/>
    </row>
    <row r="136" spans="1:153" ht="17.25" customHeight="1" x14ac:dyDescent="0.25">
      <c r="A136" s="25" t="s">
        <v>235</v>
      </c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  <c r="BC136" s="25"/>
      <c r="BD136" s="25"/>
      <c r="BE136" s="25"/>
      <c r="BF136" s="25"/>
      <c r="BG136" s="25"/>
      <c r="BH136" s="25"/>
      <c r="BI136" s="25"/>
      <c r="BJ136" s="25"/>
      <c r="BK136" s="25"/>
      <c r="BL136" s="25"/>
      <c r="BM136" s="25"/>
      <c r="BN136" s="25"/>
      <c r="BO136" s="25"/>
      <c r="BP136" s="25"/>
      <c r="BQ136" s="25"/>
      <c r="BR136" s="25"/>
      <c r="BS136" s="25"/>
      <c r="BT136" s="25"/>
      <c r="BU136" s="25"/>
      <c r="BV136" s="25"/>
      <c r="BW136" s="25"/>
      <c r="BX136" s="25"/>
      <c r="BY136" s="25"/>
      <c r="BZ136" s="25"/>
      <c r="CA136" s="25"/>
      <c r="CB136" s="25"/>
      <c r="CC136" s="25"/>
      <c r="CD136" s="25"/>
      <c r="CE136" s="25"/>
      <c r="CF136" s="25"/>
      <c r="CG136" s="25"/>
      <c r="CH136" s="25"/>
      <c r="CI136" s="25"/>
      <c r="CJ136" s="25"/>
      <c r="CK136" s="25"/>
      <c r="CL136" s="25"/>
      <c r="CM136" s="25"/>
      <c r="CN136" s="25"/>
      <c r="CO136" s="25"/>
      <c r="CP136" s="25"/>
      <c r="CQ136" s="25"/>
      <c r="CR136" s="25"/>
      <c r="CS136" s="25"/>
      <c r="CT136" s="25"/>
      <c r="CU136" s="25"/>
      <c r="CV136" s="25"/>
      <c r="CW136" s="25"/>
      <c r="CX136" s="25"/>
      <c r="CY136" s="25"/>
      <c r="CZ136" s="25"/>
      <c r="DA136" s="25"/>
      <c r="DB136" s="25"/>
      <c r="DC136" s="25"/>
      <c r="DD136" s="25"/>
      <c r="DE136" s="25"/>
      <c r="DF136" s="25"/>
      <c r="DG136" s="25"/>
      <c r="DH136" s="25"/>
      <c r="DI136" s="25"/>
      <c r="DJ136" s="25"/>
      <c r="DK136" s="25"/>
      <c r="DL136" s="25"/>
      <c r="DM136" s="25"/>
      <c r="DN136" s="25"/>
      <c r="DO136" s="25"/>
      <c r="DP136" s="25"/>
      <c r="DQ136" s="25"/>
      <c r="DR136" s="25"/>
      <c r="DS136" s="25"/>
      <c r="DT136" s="25"/>
      <c r="DU136" s="25"/>
      <c r="DV136" s="25"/>
      <c r="DW136" s="25"/>
      <c r="DX136" s="25"/>
      <c r="DY136" s="25"/>
      <c r="DZ136" s="25"/>
      <c r="EA136" s="25"/>
      <c r="EB136" s="25"/>
      <c r="EC136" s="25"/>
      <c r="ED136" s="25"/>
      <c r="EE136" s="25"/>
      <c r="EF136" s="25"/>
      <c r="EG136" s="25"/>
      <c r="EH136" s="25"/>
      <c r="EI136" s="25"/>
      <c r="EJ136" s="25"/>
      <c r="EK136" s="25"/>
      <c r="EL136" s="25"/>
      <c r="EM136" s="25"/>
      <c r="EN136" s="25"/>
      <c r="EO136" s="25"/>
      <c r="EP136" s="25"/>
      <c r="EQ136" s="25"/>
      <c r="ER136" s="25"/>
      <c r="ES136" s="25"/>
      <c r="ET136" s="25"/>
      <c r="EU136" s="25"/>
      <c r="EV136" s="25"/>
      <c r="EW136" s="25"/>
    </row>
    <row r="137" spans="1:153" ht="17.25" customHeight="1" x14ac:dyDescent="0.25">
      <c r="A137" s="25" t="s">
        <v>236</v>
      </c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  <c r="AU137" s="25"/>
      <c r="AV137" s="25"/>
      <c r="AW137" s="25"/>
      <c r="AX137" s="25"/>
      <c r="AY137" s="25"/>
      <c r="AZ137" s="25"/>
      <c r="BA137" s="25"/>
      <c r="BB137" s="25"/>
      <c r="BC137" s="25"/>
      <c r="BD137" s="25"/>
      <c r="BE137" s="25"/>
      <c r="BF137" s="25"/>
      <c r="BG137" s="25"/>
      <c r="BH137" s="25"/>
      <c r="BI137" s="25"/>
      <c r="BJ137" s="25"/>
      <c r="BK137" s="25"/>
      <c r="BL137" s="25"/>
      <c r="BM137" s="25"/>
      <c r="BN137" s="25"/>
      <c r="BO137" s="25"/>
      <c r="BP137" s="25"/>
      <c r="BQ137" s="25"/>
      <c r="BR137" s="25"/>
      <c r="BS137" s="25"/>
      <c r="BT137" s="25"/>
      <c r="BU137" s="25"/>
      <c r="BV137" s="25"/>
      <c r="BW137" s="25"/>
      <c r="BX137" s="25"/>
      <c r="BY137" s="25"/>
      <c r="BZ137" s="25"/>
      <c r="CA137" s="25"/>
      <c r="CB137" s="25"/>
      <c r="CC137" s="25"/>
      <c r="CD137" s="25"/>
      <c r="CE137" s="25"/>
      <c r="CF137" s="25"/>
      <c r="CG137" s="25"/>
      <c r="CH137" s="25"/>
      <c r="CI137" s="25"/>
      <c r="CJ137" s="25"/>
      <c r="CK137" s="25"/>
      <c r="CL137" s="25"/>
      <c r="CM137" s="25"/>
      <c r="CN137" s="25"/>
      <c r="CO137" s="25"/>
      <c r="CP137" s="25"/>
      <c r="CQ137" s="25"/>
      <c r="CR137" s="25"/>
      <c r="CS137" s="25"/>
      <c r="CT137" s="25"/>
      <c r="CU137" s="25"/>
      <c r="CV137" s="25"/>
      <c r="CW137" s="25"/>
      <c r="CX137" s="25"/>
      <c r="CY137" s="25"/>
      <c r="CZ137" s="25"/>
      <c r="DA137" s="25"/>
      <c r="DB137" s="25"/>
      <c r="DC137" s="25"/>
      <c r="DD137" s="25"/>
      <c r="DE137" s="25"/>
      <c r="DF137" s="25"/>
      <c r="DG137" s="25"/>
      <c r="DH137" s="25"/>
      <c r="DI137" s="25"/>
      <c r="DJ137" s="25"/>
      <c r="DK137" s="25"/>
      <c r="DL137" s="25"/>
      <c r="DM137" s="25"/>
      <c r="DN137" s="25"/>
      <c r="DO137" s="25"/>
      <c r="DP137" s="25"/>
      <c r="DQ137" s="25"/>
      <c r="DR137" s="25"/>
      <c r="DS137" s="25"/>
      <c r="DT137" s="25"/>
      <c r="DU137" s="25"/>
      <c r="DV137" s="25"/>
      <c r="DW137" s="25"/>
      <c r="DX137" s="25"/>
      <c r="DY137" s="25"/>
      <c r="DZ137" s="25"/>
      <c r="EA137" s="25"/>
      <c r="EB137" s="25"/>
      <c r="EC137" s="25"/>
      <c r="ED137" s="25"/>
      <c r="EE137" s="25"/>
      <c r="EF137" s="25"/>
      <c r="EG137" s="25"/>
      <c r="EH137" s="25"/>
      <c r="EI137" s="25"/>
      <c r="EJ137" s="25"/>
      <c r="EK137" s="25"/>
      <c r="EL137" s="25"/>
      <c r="EM137" s="25"/>
      <c r="EN137" s="25"/>
      <c r="EO137" s="25"/>
      <c r="EP137" s="25"/>
      <c r="EQ137" s="25"/>
      <c r="ER137" s="25"/>
      <c r="ES137" s="25"/>
      <c r="ET137" s="25"/>
      <c r="EU137" s="25"/>
      <c r="EV137" s="25"/>
      <c r="EW137" s="25"/>
    </row>
    <row r="138" spans="1:153" ht="17.25" customHeight="1" x14ac:dyDescent="0.25">
      <c r="A138" s="25" t="s">
        <v>237</v>
      </c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5"/>
      <c r="AV138" s="25"/>
      <c r="AW138" s="25"/>
      <c r="AX138" s="25"/>
      <c r="AY138" s="25"/>
      <c r="AZ138" s="25"/>
      <c r="BA138" s="25"/>
      <c r="BB138" s="25"/>
      <c r="BC138" s="25"/>
      <c r="BD138" s="25"/>
      <c r="BE138" s="25"/>
      <c r="BF138" s="25"/>
      <c r="BG138" s="25"/>
      <c r="BH138" s="25"/>
      <c r="BI138" s="25"/>
      <c r="BJ138" s="25"/>
      <c r="BK138" s="25"/>
      <c r="BL138" s="25"/>
      <c r="BM138" s="25"/>
      <c r="BN138" s="25"/>
      <c r="BO138" s="25"/>
      <c r="BP138" s="25"/>
      <c r="BQ138" s="25"/>
      <c r="BR138" s="25"/>
      <c r="BS138" s="25"/>
      <c r="BT138" s="25"/>
      <c r="BU138" s="25"/>
      <c r="BV138" s="25"/>
      <c r="BW138" s="25"/>
      <c r="BX138" s="25"/>
      <c r="BY138" s="25"/>
      <c r="BZ138" s="25"/>
      <c r="CA138" s="25"/>
      <c r="CB138" s="25"/>
      <c r="CC138" s="25"/>
      <c r="CD138" s="25"/>
      <c r="CE138" s="25"/>
      <c r="CF138" s="25"/>
      <c r="CG138" s="25"/>
      <c r="CH138" s="25"/>
      <c r="CI138" s="25"/>
      <c r="CJ138" s="25"/>
      <c r="CK138" s="25"/>
      <c r="CL138" s="25"/>
      <c r="CM138" s="25"/>
      <c r="CN138" s="25"/>
      <c r="CO138" s="25"/>
      <c r="CP138" s="25"/>
      <c r="CQ138" s="25"/>
      <c r="CR138" s="25"/>
      <c r="CS138" s="25"/>
      <c r="CT138" s="25"/>
      <c r="CU138" s="25"/>
      <c r="CV138" s="25"/>
      <c r="CW138" s="25"/>
      <c r="CX138" s="25"/>
      <c r="CY138" s="25"/>
      <c r="CZ138" s="25"/>
      <c r="DA138" s="25"/>
      <c r="DB138" s="25"/>
      <c r="DC138" s="25"/>
      <c r="DD138" s="25"/>
      <c r="DE138" s="25"/>
      <c r="DF138" s="25"/>
      <c r="DG138" s="25"/>
      <c r="DH138" s="25"/>
      <c r="DI138" s="25"/>
      <c r="DJ138" s="25"/>
      <c r="DK138" s="25"/>
      <c r="DL138" s="25"/>
      <c r="DM138" s="25"/>
      <c r="DN138" s="25"/>
      <c r="DO138" s="25"/>
      <c r="DP138" s="25"/>
      <c r="DQ138" s="25"/>
      <c r="DR138" s="25"/>
      <c r="DS138" s="25"/>
      <c r="DT138" s="25"/>
      <c r="DU138" s="25"/>
      <c r="DV138" s="25"/>
      <c r="DW138" s="25"/>
      <c r="DX138" s="25"/>
      <c r="DY138" s="25"/>
      <c r="DZ138" s="25"/>
      <c r="EA138" s="25"/>
      <c r="EB138" s="25"/>
      <c r="EC138" s="25"/>
      <c r="ED138" s="25"/>
      <c r="EE138" s="25"/>
      <c r="EF138" s="25"/>
      <c r="EG138" s="25"/>
      <c r="EH138" s="25"/>
      <c r="EI138" s="25"/>
      <c r="EJ138" s="25"/>
      <c r="EK138" s="25"/>
      <c r="EL138" s="25"/>
      <c r="EM138" s="25"/>
      <c r="EN138" s="25"/>
      <c r="EO138" s="25"/>
      <c r="EP138" s="25"/>
      <c r="EQ138" s="25"/>
      <c r="ER138" s="25"/>
      <c r="ES138" s="25"/>
      <c r="ET138" s="25"/>
      <c r="EU138" s="25"/>
      <c r="EV138" s="25"/>
      <c r="EW138" s="25"/>
    </row>
    <row r="139" spans="1:153" ht="17.25" customHeight="1" x14ac:dyDescent="0.25">
      <c r="A139" s="25" t="s">
        <v>238</v>
      </c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  <c r="AU139" s="25"/>
      <c r="AV139" s="25"/>
      <c r="AW139" s="25"/>
      <c r="AX139" s="25"/>
      <c r="AY139" s="25"/>
      <c r="AZ139" s="25"/>
      <c r="BA139" s="25"/>
      <c r="BB139" s="25"/>
      <c r="BC139" s="25"/>
      <c r="BD139" s="25"/>
      <c r="BE139" s="25"/>
      <c r="BF139" s="25"/>
      <c r="BG139" s="25"/>
      <c r="BH139" s="25"/>
      <c r="BI139" s="25"/>
      <c r="BJ139" s="25"/>
      <c r="BK139" s="25"/>
      <c r="BL139" s="25"/>
      <c r="BM139" s="25"/>
      <c r="BN139" s="25"/>
      <c r="BO139" s="25"/>
      <c r="BP139" s="25"/>
      <c r="BQ139" s="25"/>
      <c r="BR139" s="25"/>
      <c r="BS139" s="25"/>
      <c r="BT139" s="25"/>
      <c r="BU139" s="25"/>
      <c r="BV139" s="25"/>
      <c r="BW139" s="25"/>
      <c r="BX139" s="25"/>
      <c r="BY139" s="25"/>
      <c r="BZ139" s="25"/>
      <c r="CA139" s="25"/>
      <c r="CB139" s="25"/>
      <c r="CC139" s="25"/>
      <c r="CD139" s="25"/>
      <c r="CE139" s="25"/>
      <c r="CF139" s="25"/>
      <c r="CG139" s="25"/>
      <c r="CH139" s="25"/>
      <c r="CI139" s="25"/>
      <c r="CJ139" s="25"/>
      <c r="CK139" s="25"/>
      <c r="CL139" s="25"/>
      <c r="CM139" s="25"/>
      <c r="CN139" s="25"/>
      <c r="CO139" s="25"/>
      <c r="CP139" s="25"/>
      <c r="CQ139" s="25"/>
      <c r="CR139" s="25"/>
      <c r="CS139" s="25"/>
      <c r="CT139" s="25"/>
      <c r="CU139" s="25"/>
      <c r="CV139" s="25"/>
      <c r="CW139" s="25"/>
      <c r="CX139" s="25"/>
      <c r="CY139" s="25"/>
      <c r="CZ139" s="25"/>
      <c r="DA139" s="25"/>
      <c r="DB139" s="25"/>
      <c r="DC139" s="25"/>
      <c r="DD139" s="25"/>
      <c r="DE139" s="25"/>
      <c r="DF139" s="25"/>
      <c r="DG139" s="25"/>
      <c r="DH139" s="25"/>
      <c r="DI139" s="25"/>
      <c r="DJ139" s="25"/>
      <c r="DK139" s="25"/>
      <c r="DL139" s="25"/>
      <c r="DM139" s="25"/>
      <c r="DN139" s="25"/>
      <c r="DO139" s="25"/>
      <c r="DP139" s="25"/>
      <c r="DQ139" s="25"/>
      <c r="DR139" s="25"/>
      <c r="DS139" s="25"/>
      <c r="DT139" s="25"/>
      <c r="DU139" s="25"/>
      <c r="DV139" s="25"/>
      <c r="DW139" s="25"/>
      <c r="DX139" s="25"/>
      <c r="DY139" s="25"/>
      <c r="DZ139" s="25"/>
      <c r="EA139" s="25"/>
      <c r="EB139" s="25"/>
      <c r="EC139" s="25"/>
      <c r="ED139" s="25"/>
      <c r="EE139" s="25"/>
      <c r="EF139" s="25"/>
      <c r="EG139" s="25"/>
      <c r="EH139" s="25"/>
      <c r="EI139" s="25"/>
      <c r="EJ139" s="25"/>
      <c r="EK139" s="25"/>
      <c r="EL139" s="25"/>
      <c r="EM139" s="25"/>
      <c r="EN139" s="25"/>
      <c r="EO139" s="25"/>
      <c r="EP139" s="25"/>
      <c r="EQ139" s="25"/>
      <c r="ER139" s="25"/>
      <c r="ES139" s="25"/>
      <c r="ET139" s="25"/>
      <c r="EU139" s="25"/>
      <c r="EV139" s="25"/>
      <c r="EW139" s="25"/>
    </row>
    <row r="140" spans="1:153" ht="17.25" customHeight="1" x14ac:dyDescent="0.25">
      <c r="A140" s="25" t="s">
        <v>239</v>
      </c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5"/>
      <c r="AV140" s="25"/>
      <c r="AW140" s="25"/>
      <c r="AX140" s="25"/>
      <c r="AY140" s="25"/>
      <c r="AZ140" s="25"/>
      <c r="BA140" s="25"/>
      <c r="BB140" s="25"/>
      <c r="BC140" s="25"/>
      <c r="BD140" s="25"/>
      <c r="BE140" s="25"/>
      <c r="BF140" s="25"/>
      <c r="BG140" s="25"/>
      <c r="BH140" s="25"/>
      <c r="BI140" s="25"/>
      <c r="BJ140" s="25"/>
      <c r="BK140" s="25"/>
      <c r="BL140" s="25"/>
      <c r="BM140" s="25"/>
      <c r="BN140" s="25"/>
      <c r="BO140" s="25"/>
      <c r="BP140" s="25"/>
      <c r="BQ140" s="25"/>
      <c r="BR140" s="25"/>
      <c r="BS140" s="25"/>
      <c r="BT140" s="25"/>
      <c r="BU140" s="25"/>
      <c r="BV140" s="25"/>
      <c r="BW140" s="25"/>
      <c r="BX140" s="25"/>
      <c r="BY140" s="25"/>
      <c r="BZ140" s="25"/>
      <c r="CA140" s="25"/>
      <c r="CB140" s="25"/>
      <c r="CC140" s="25"/>
      <c r="CD140" s="25"/>
      <c r="CE140" s="25"/>
      <c r="CF140" s="25"/>
      <c r="CG140" s="25"/>
      <c r="CH140" s="25"/>
      <c r="CI140" s="25"/>
      <c r="CJ140" s="25"/>
      <c r="CK140" s="25"/>
      <c r="CL140" s="25"/>
      <c r="CM140" s="25"/>
      <c r="CN140" s="25"/>
      <c r="CO140" s="25"/>
      <c r="CP140" s="25"/>
      <c r="CQ140" s="25"/>
      <c r="CR140" s="25"/>
      <c r="CS140" s="25"/>
      <c r="CT140" s="25"/>
      <c r="CU140" s="25"/>
      <c r="CV140" s="25"/>
      <c r="CW140" s="25"/>
      <c r="CX140" s="25"/>
      <c r="CY140" s="25"/>
      <c r="CZ140" s="25"/>
      <c r="DA140" s="25"/>
      <c r="DB140" s="25"/>
      <c r="DC140" s="25"/>
      <c r="DD140" s="25"/>
      <c r="DE140" s="25"/>
      <c r="DF140" s="25"/>
      <c r="DG140" s="25"/>
      <c r="DH140" s="25"/>
      <c r="DI140" s="25"/>
      <c r="DJ140" s="25"/>
      <c r="DK140" s="25"/>
      <c r="DL140" s="25"/>
      <c r="DM140" s="25"/>
      <c r="DN140" s="25"/>
      <c r="DO140" s="25"/>
      <c r="DP140" s="25"/>
      <c r="DQ140" s="25"/>
      <c r="DR140" s="25"/>
      <c r="DS140" s="25"/>
      <c r="DT140" s="25"/>
      <c r="DU140" s="25"/>
      <c r="DV140" s="25"/>
      <c r="DW140" s="25"/>
      <c r="DX140" s="25"/>
      <c r="DY140" s="25"/>
      <c r="DZ140" s="25"/>
      <c r="EA140" s="25"/>
      <c r="EB140" s="25"/>
      <c r="EC140" s="25"/>
      <c r="ED140" s="25"/>
      <c r="EE140" s="25"/>
      <c r="EF140" s="25"/>
      <c r="EG140" s="25"/>
      <c r="EH140" s="25"/>
      <c r="EI140" s="25"/>
      <c r="EJ140" s="25"/>
      <c r="EK140" s="25"/>
      <c r="EL140" s="25"/>
      <c r="EM140" s="25"/>
      <c r="EN140" s="25"/>
      <c r="EO140" s="25"/>
      <c r="EP140" s="25"/>
      <c r="EQ140" s="25"/>
      <c r="ER140" s="25"/>
      <c r="ES140" s="25"/>
      <c r="ET140" s="25"/>
      <c r="EU140" s="25"/>
      <c r="EV140" s="25"/>
      <c r="EW140" s="25"/>
    </row>
    <row r="141" spans="1:153" ht="17.25" customHeight="1" x14ac:dyDescent="0.25">
      <c r="A141" s="25" t="s">
        <v>240</v>
      </c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  <c r="AU141" s="25"/>
      <c r="AV141" s="25"/>
      <c r="AW141" s="25"/>
      <c r="AX141" s="25"/>
      <c r="AY141" s="25"/>
      <c r="AZ141" s="25"/>
      <c r="BA141" s="25"/>
      <c r="BB141" s="25"/>
      <c r="BC141" s="25"/>
      <c r="BD141" s="25"/>
      <c r="BE141" s="25"/>
      <c r="BF141" s="25"/>
      <c r="BG141" s="25"/>
      <c r="BH141" s="25"/>
      <c r="BI141" s="25"/>
      <c r="BJ141" s="25"/>
      <c r="BK141" s="25"/>
      <c r="BL141" s="25"/>
      <c r="BM141" s="25"/>
      <c r="BN141" s="25"/>
      <c r="BO141" s="25"/>
      <c r="BP141" s="25"/>
      <c r="BQ141" s="25"/>
      <c r="BR141" s="25"/>
      <c r="BS141" s="25"/>
      <c r="BT141" s="25"/>
      <c r="BU141" s="25"/>
      <c r="BV141" s="25"/>
      <c r="BW141" s="25"/>
      <c r="BX141" s="25"/>
      <c r="BY141" s="25"/>
      <c r="BZ141" s="25"/>
      <c r="CA141" s="25"/>
      <c r="CB141" s="25"/>
      <c r="CC141" s="25"/>
      <c r="CD141" s="25"/>
      <c r="CE141" s="25"/>
      <c r="CF141" s="25"/>
      <c r="CG141" s="25"/>
      <c r="CH141" s="25"/>
      <c r="CI141" s="25"/>
      <c r="CJ141" s="25"/>
      <c r="CK141" s="25"/>
      <c r="CL141" s="25"/>
      <c r="CM141" s="25"/>
      <c r="CN141" s="25"/>
      <c r="CO141" s="25"/>
      <c r="CP141" s="25"/>
      <c r="CQ141" s="25"/>
      <c r="CR141" s="25"/>
      <c r="CS141" s="25"/>
      <c r="CT141" s="25"/>
      <c r="CU141" s="25"/>
      <c r="CV141" s="25"/>
      <c r="CW141" s="25"/>
      <c r="CX141" s="25"/>
      <c r="CY141" s="25"/>
      <c r="CZ141" s="25"/>
      <c r="DA141" s="25"/>
      <c r="DB141" s="25"/>
      <c r="DC141" s="25"/>
      <c r="DD141" s="25"/>
      <c r="DE141" s="25"/>
      <c r="DF141" s="25"/>
      <c r="DG141" s="25"/>
      <c r="DH141" s="25"/>
      <c r="DI141" s="25"/>
      <c r="DJ141" s="25"/>
      <c r="DK141" s="25"/>
      <c r="DL141" s="25"/>
      <c r="DM141" s="25"/>
      <c r="DN141" s="25"/>
      <c r="DO141" s="25"/>
      <c r="DP141" s="25"/>
      <c r="DQ141" s="25"/>
      <c r="DR141" s="25"/>
      <c r="DS141" s="25"/>
      <c r="DT141" s="25"/>
      <c r="DU141" s="25"/>
      <c r="DV141" s="25"/>
      <c r="DW141" s="25"/>
      <c r="DX141" s="25"/>
      <c r="DY141" s="25"/>
      <c r="DZ141" s="25"/>
      <c r="EA141" s="25"/>
      <c r="EB141" s="25"/>
      <c r="EC141" s="25"/>
      <c r="ED141" s="25"/>
      <c r="EE141" s="25"/>
      <c r="EF141" s="25"/>
      <c r="EG141" s="25"/>
      <c r="EH141" s="25"/>
      <c r="EI141" s="25"/>
      <c r="EJ141" s="25"/>
      <c r="EK141" s="25"/>
      <c r="EL141" s="25"/>
      <c r="EM141" s="25"/>
      <c r="EN141" s="25"/>
      <c r="EO141" s="25"/>
      <c r="EP141" s="25"/>
      <c r="EQ141" s="25"/>
      <c r="ER141" s="25"/>
      <c r="ES141" s="25"/>
      <c r="ET141" s="25"/>
      <c r="EU141" s="25"/>
      <c r="EV141" s="25"/>
      <c r="EW141" s="25"/>
    </row>
    <row r="142" spans="1:153" ht="17.25" customHeight="1" x14ac:dyDescent="0.25">
      <c r="A142" s="25" t="s">
        <v>121</v>
      </c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  <c r="BC142" s="25"/>
      <c r="BD142" s="25"/>
      <c r="BE142" s="25"/>
      <c r="BF142" s="25"/>
      <c r="BG142" s="25"/>
      <c r="BH142" s="25"/>
      <c r="BI142" s="25"/>
      <c r="BJ142" s="25"/>
      <c r="BK142" s="25"/>
      <c r="BL142" s="25"/>
      <c r="BM142" s="25"/>
      <c r="BN142" s="25"/>
      <c r="BO142" s="25"/>
      <c r="BP142" s="25"/>
      <c r="BQ142" s="25"/>
      <c r="BR142" s="25"/>
      <c r="BS142" s="25"/>
      <c r="BT142" s="25"/>
      <c r="BU142" s="25"/>
      <c r="BV142" s="25"/>
      <c r="BW142" s="25"/>
      <c r="BX142" s="25"/>
      <c r="BY142" s="25"/>
      <c r="BZ142" s="25"/>
      <c r="CA142" s="25"/>
      <c r="CB142" s="25"/>
      <c r="CC142" s="25"/>
      <c r="CD142" s="25"/>
      <c r="CE142" s="25"/>
      <c r="CF142" s="25"/>
      <c r="CG142" s="25"/>
      <c r="CH142" s="25"/>
      <c r="CI142" s="25"/>
      <c r="CJ142" s="25"/>
      <c r="CK142" s="25"/>
      <c r="CL142" s="25"/>
      <c r="CM142" s="25"/>
      <c r="CN142" s="25"/>
      <c r="CO142" s="25"/>
      <c r="CP142" s="25"/>
      <c r="CQ142" s="25"/>
      <c r="CR142" s="25"/>
      <c r="CS142" s="25"/>
      <c r="CT142" s="25"/>
      <c r="CU142" s="25"/>
      <c r="CV142" s="25"/>
      <c r="CW142" s="25"/>
      <c r="CX142" s="25"/>
      <c r="CY142" s="25"/>
      <c r="CZ142" s="25"/>
      <c r="DA142" s="25"/>
      <c r="DB142" s="25"/>
      <c r="DC142" s="25"/>
      <c r="DD142" s="25"/>
      <c r="DE142" s="25"/>
      <c r="DF142" s="25"/>
      <c r="DG142" s="25"/>
      <c r="DH142" s="25"/>
      <c r="DI142" s="25"/>
      <c r="DJ142" s="25"/>
      <c r="DK142" s="25"/>
      <c r="DL142" s="25"/>
      <c r="DM142" s="25"/>
      <c r="DN142" s="25"/>
      <c r="DO142" s="25"/>
      <c r="DP142" s="25"/>
      <c r="DQ142" s="25"/>
      <c r="DR142" s="25"/>
      <c r="DS142" s="25"/>
      <c r="DT142" s="25"/>
      <c r="DU142" s="25"/>
      <c r="DV142" s="25"/>
      <c r="DW142" s="25"/>
      <c r="DX142" s="25"/>
      <c r="DY142" s="25"/>
      <c r="DZ142" s="25"/>
      <c r="EA142" s="25"/>
      <c r="EB142" s="25"/>
      <c r="EC142" s="25"/>
      <c r="ED142" s="25"/>
      <c r="EE142" s="25"/>
      <c r="EF142" s="25"/>
      <c r="EG142" s="25"/>
      <c r="EH142" s="25"/>
      <c r="EI142" s="25"/>
      <c r="EJ142" s="25"/>
      <c r="EK142" s="25"/>
      <c r="EL142" s="25"/>
      <c r="EM142" s="25"/>
      <c r="EN142" s="25"/>
      <c r="EO142" s="25"/>
      <c r="EP142" s="25"/>
      <c r="EQ142" s="25"/>
      <c r="ER142" s="25"/>
      <c r="ES142" s="25"/>
      <c r="ET142" s="25"/>
      <c r="EU142" s="25"/>
      <c r="EV142" s="25"/>
      <c r="EW142" s="25"/>
    </row>
    <row r="143" spans="1:153" ht="17.25" customHeight="1" x14ac:dyDescent="0.25">
      <c r="A143" s="25" t="s">
        <v>122</v>
      </c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  <c r="AU143" s="25"/>
      <c r="AV143" s="25"/>
      <c r="AW143" s="25"/>
      <c r="AX143" s="25"/>
      <c r="AY143" s="25"/>
      <c r="AZ143" s="25"/>
      <c r="BA143" s="25"/>
      <c r="BB143" s="25"/>
      <c r="BC143" s="25"/>
      <c r="BD143" s="25"/>
      <c r="BE143" s="25"/>
      <c r="BF143" s="25"/>
      <c r="BG143" s="25"/>
      <c r="BH143" s="25"/>
      <c r="BI143" s="25"/>
      <c r="BJ143" s="25"/>
      <c r="BK143" s="25"/>
      <c r="BL143" s="25"/>
      <c r="BM143" s="25"/>
      <c r="BN143" s="25"/>
      <c r="BO143" s="25"/>
      <c r="BP143" s="25"/>
      <c r="BQ143" s="25"/>
      <c r="BR143" s="25"/>
      <c r="BS143" s="25"/>
      <c r="BT143" s="25"/>
      <c r="BU143" s="25"/>
      <c r="BV143" s="25"/>
      <c r="BW143" s="25"/>
      <c r="BX143" s="25"/>
      <c r="BY143" s="25"/>
      <c r="BZ143" s="25"/>
      <c r="CA143" s="25"/>
      <c r="CB143" s="25"/>
      <c r="CC143" s="25"/>
      <c r="CD143" s="25"/>
      <c r="CE143" s="25"/>
      <c r="CF143" s="25"/>
      <c r="CG143" s="25"/>
      <c r="CH143" s="25"/>
      <c r="CI143" s="25"/>
      <c r="CJ143" s="25"/>
      <c r="CK143" s="25"/>
      <c r="CL143" s="25"/>
      <c r="CM143" s="25"/>
      <c r="CN143" s="25"/>
      <c r="CO143" s="25"/>
      <c r="CP143" s="25"/>
      <c r="CQ143" s="25"/>
      <c r="CR143" s="25"/>
      <c r="CS143" s="25"/>
      <c r="CT143" s="25"/>
      <c r="CU143" s="25"/>
      <c r="CV143" s="25"/>
      <c r="CW143" s="25"/>
      <c r="CX143" s="25"/>
      <c r="CY143" s="25"/>
      <c r="CZ143" s="25"/>
      <c r="DA143" s="25"/>
      <c r="DB143" s="25"/>
      <c r="DC143" s="25"/>
      <c r="DD143" s="25"/>
      <c r="DE143" s="25"/>
      <c r="DF143" s="25"/>
      <c r="DG143" s="25"/>
      <c r="DH143" s="25"/>
      <c r="DI143" s="25"/>
      <c r="DJ143" s="25"/>
      <c r="DK143" s="25"/>
      <c r="DL143" s="25"/>
      <c r="DM143" s="25"/>
      <c r="DN143" s="25"/>
      <c r="DO143" s="25"/>
      <c r="DP143" s="25"/>
      <c r="DQ143" s="25"/>
      <c r="DR143" s="25"/>
      <c r="DS143" s="25"/>
      <c r="DT143" s="25"/>
      <c r="DU143" s="25"/>
      <c r="DV143" s="25"/>
      <c r="DW143" s="25"/>
      <c r="DX143" s="25"/>
      <c r="DY143" s="25"/>
      <c r="DZ143" s="25"/>
      <c r="EA143" s="25"/>
      <c r="EB143" s="25"/>
      <c r="EC143" s="25"/>
      <c r="ED143" s="25"/>
      <c r="EE143" s="25"/>
      <c r="EF143" s="25"/>
      <c r="EG143" s="25"/>
      <c r="EH143" s="25"/>
      <c r="EI143" s="25"/>
      <c r="EJ143" s="25"/>
      <c r="EK143" s="25"/>
      <c r="EL143" s="25"/>
      <c r="EM143" s="25"/>
      <c r="EN143" s="25"/>
      <c r="EO143" s="25"/>
      <c r="EP143" s="25"/>
      <c r="EQ143" s="25"/>
      <c r="ER143" s="25"/>
      <c r="ES143" s="25"/>
      <c r="ET143" s="25"/>
      <c r="EU143" s="25"/>
      <c r="EV143" s="25"/>
      <c r="EW143" s="25"/>
    </row>
    <row r="144" spans="1:153" ht="17.25" customHeight="1" x14ac:dyDescent="0.25">
      <c r="A144" s="25" t="s">
        <v>241</v>
      </c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  <c r="AU144" s="25"/>
      <c r="AV144" s="25"/>
      <c r="AW144" s="25"/>
      <c r="AX144" s="25"/>
      <c r="AY144" s="25"/>
      <c r="AZ144" s="25"/>
      <c r="BA144" s="25"/>
      <c r="BB144" s="25"/>
      <c r="BC144" s="25"/>
      <c r="BD144" s="25"/>
      <c r="BE144" s="25"/>
      <c r="BF144" s="25"/>
      <c r="BG144" s="25"/>
      <c r="BH144" s="25"/>
      <c r="BI144" s="25"/>
      <c r="BJ144" s="25"/>
      <c r="BK144" s="25"/>
      <c r="BL144" s="25"/>
      <c r="BM144" s="25"/>
      <c r="BN144" s="25"/>
      <c r="BO144" s="25"/>
      <c r="BP144" s="25"/>
      <c r="BQ144" s="25"/>
      <c r="BR144" s="25"/>
      <c r="BS144" s="25"/>
      <c r="BT144" s="25"/>
      <c r="BU144" s="25"/>
      <c r="BV144" s="25"/>
      <c r="BW144" s="25"/>
      <c r="BX144" s="25"/>
      <c r="BY144" s="25"/>
      <c r="BZ144" s="25"/>
      <c r="CA144" s="25"/>
      <c r="CB144" s="25"/>
      <c r="CC144" s="25"/>
      <c r="CD144" s="25"/>
      <c r="CE144" s="25"/>
      <c r="CF144" s="25"/>
      <c r="CG144" s="25"/>
      <c r="CH144" s="25"/>
      <c r="CI144" s="25"/>
      <c r="CJ144" s="25"/>
      <c r="CK144" s="25"/>
      <c r="CL144" s="25"/>
      <c r="CM144" s="25"/>
      <c r="CN144" s="25"/>
      <c r="CO144" s="25"/>
      <c r="CP144" s="25"/>
      <c r="CQ144" s="25"/>
      <c r="CR144" s="25"/>
      <c r="CS144" s="25"/>
      <c r="CT144" s="25"/>
      <c r="CU144" s="25"/>
      <c r="CV144" s="25"/>
      <c r="CW144" s="25"/>
      <c r="CX144" s="25"/>
      <c r="CY144" s="25"/>
      <c r="CZ144" s="25"/>
      <c r="DA144" s="25"/>
      <c r="DB144" s="25"/>
      <c r="DC144" s="25"/>
      <c r="DD144" s="25"/>
      <c r="DE144" s="25"/>
      <c r="DF144" s="25"/>
      <c r="DG144" s="25"/>
      <c r="DH144" s="25"/>
      <c r="DI144" s="25"/>
      <c r="DJ144" s="25"/>
      <c r="DK144" s="25"/>
      <c r="DL144" s="25"/>
      <c r="DM144" s="25"/>
      <c r="DN144" s="25"/>
      <c r="DO144" s="25"/>
      <c r="DP144" s="25"/>
      <c r="DQ144" s="25"/>
      <c r="DR144" s="25"/>
      <c r="DS144" s="25"/>
      <c r="DT144" s="25"/>
      <c r="DU144" s="25"/>
      <c r="DV144" s="25"/>
      <c r="DW144" s="25"/>
      <c r="DX144" s="25"/>
      <c r="DY144" s="25"/>
      <c r="DZ144" s="25"/>
      <c r="EA144" s="25"/>
      <c r="EB144" s="25"/>
      <c r="EC144" s="25"/>
      <c r="ED144" s="25"/>
      <c r="EE144" s="25"/>
      <c r="EF144" s="25"/>
      <c r="EG144" s="25"/>
      <c r="EH144" s="25"/>
      <c r="EI144" s="25"/>
      <c r="EJ144" s="25"/>
      <c r="EK144" s="25"/>
      <c r="EL144" s="25"/>
      <c r="EM144" s="25"/>
      <c r="EN144" s="25"/>
      <c r="EO144" s="25"/>
      <c r="EP144" s="25"/>
      <c r="EQ144" s="25"/>
      <c r="ER144" s="25"/>
      <c r="ES144" s="25"/>
      <c r="ET144" s="25"/>
      <c r="EU144" s="25"/>
      <c r="EV144" s="25"/>
      <c r="EW144" s="25"/>
    </row>
    <row r="145" spans="1:153" ht="17.25" customHeight="1" x14ac:dyDescent="0.25">
      <c r="A145" s="25" t="s">
        <v>242</v>
      </c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  <c r="BC145" s="25"/>
      <c r="BD145" s="25"/>
      <c r="BE145" s="25"/>
      <c r="BF145" s="25"/>
      <c r="BG145" s="25"/>
      <c r="BH145" s="25"/>
      <c r="BI145" s="25"/>
      <c r="BJ145" s="25"/>
      <c r="BK145" s="25"/>
      <c r="BL145" s="25"/>
      <c r="BM145" s="25"/>
      <c r="BN145" s="25"/>
      <c r="BO145" s="25"/>
      <c r="BP145" s="25"/>
      <c r="BQ145" s="25"/>
      <c r="BR145" s="25"/>
      <c r="BS145" s="25"/>
      <c r="BT145" s="25"/>
      <c r="BU145" s="25"/>
      <c r="BV145" s="25"/>
      <c r="BW145" s="25"/>
      <c r="BX145" s="25"/>
      <c r="BY145" s="25"/>
      <c r="BZ145" s="25"/>
      <c r="CA145" s="25"/>
      <c r="CB145" s="25"/>
      <c r="CC145" s="25"/>
      <c r="CD145" s="25"/>
      <c r="CE145" s="25"/>
      <c r="CF145" s="25"/>
      <c r="CG145" s="25"/>
      <c r="CH145" s="25"/>
      <c r="CI145" s="25"/>
      <c r="CJ145" s="25"/>
      <c r="CK145" s="25"/>
      <c r="CL145" s="25"/>
      <c r="CM145" s="25"/>
      <c r="CN145" s="25"/>
      <c r="CO145" s="25"/>
      <c r="CP145" s="25"/>
      <c r="CQ145" s="25"/>
      <c r="CR145" s="25"/>
      <c r="CS145" s="25"/>
      <c r="CT145" s="25"/>
      <c r="CU145" s="25"/>
      <c r="CV145" s="25"/>
      <c r="CW145" s="25"/>
      <c r="CX145" s="25"/>
      <c r="CY145" s="25"/>
      <c r="CZ145" s="25"/>
      <c r="DA145" s="25"/>
      <c r="DB145" s="25"/>
      <c r="DC145" s="25"/>
      <c r="DD145" s="25"/>
      <c r="DE145" s="25"/>
      <c r="DF145" s="25"/>
      <c r="DG145" s="25"/>
      <c r="DH145" s="25"/>
      <c r="DI145" s="25"/>
      <c r="DJ145" s="25"/>
      <c r="DK145" s="25"/>
      <c r="DL145" s="25"/>
      <c r="DM145" s="25"/>
      <c r="DN145" s="25"/>
      <c r="DO145" s="25"/>
      <c r="DP145" s="25"/>
      <c r="DQ145" s="25"/>
      <c r="DR145" s="25"/>
      <c r="DS145" s="25"/>
      <c r="DT145" s="25"/>
      <c r="DU145" s="25"/>
      <c r="DV145" s="25"/>
      <c r="DW145" s="25"/>
      <c r="DX145" s="25"/>
      <c r="DY145" s="25"/>
      <c r="DZ145" s="25"/>
      <c r="EA145" s="25"/>
      <c r="EB145" s="25"/>
      <c r="EC145" s="25"/>
      <c r="ED145" s="25"/>
      <c r="EE145" s="25"/>
      <c r="EF145" s="25"/>
      <c r="EG145" s="25"/>
      <c r="EH145" s="25"/>
      <c r="EI145" s="25"/>
      <c r="EJ145" s="25"/>
      <c r="EK145" s="25"/>
      <c r="EL145" s="25"/>
      <c r="EM145" s="25"/>
      <c r="EN145" s="25"/>
      <c r="EO145" s="25"/>
      <c r="EP145" s="25"/>
      <c r="EQ145" s="25"/>
      <c r="ER145" s="25"/>
      <c r="ES145" s="25"/>
      <c r="ET145" s="25"/>
      <c r="EU145" s="25"/>
      <c r="EV145" s="25"/>
      <c r="EW145" s="25"/>
    </row>
    <row r="146" spans="1:153" ht="17.25" customHeight="1" x14ac:dyDescent="0.25">
      <c r="A146" s="25" t="s">
        <v>243</v>
      </c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  <c r="AU146" s="25"/>
      <c r="AV146" s="25"/>
      <c r="AW146" s="25"/>
      <c r="AX146" s="25"/>
      <c r="AY146" s="25"/>
      <c r="AZ146" s="25"/>
      <c r="BA146" s="25"/>
      <c r="BB146" s="25"/>
      <c r="BC146" s="25"/>
      <c r="BD146" s="25"/>
      <c r="BE146" s="25"/>
      <c r="BF146" s="25"/>
      <c r="BG146" s="25"/>
      <c r="BH146" s="25"/>
      <c r="BI146" s="25"/>
      <c r="BJ146" s="25"/>
      <c r="BK146" s="25"/>
      <c r="BL146" s="25"/>
      <c r="BM146" s="25"/>
      <c r="BN146" s="25"/>
      <c r="BO146" s="25"/>
      <c r="BP146" s="25"/>
      <c r="BQ146" s="25"/>
      <c r="BR146" s="25"/>
      <c r="BS146" s="25"/>
      <c r="BT146" s="25"/>
      <c r="BU146" s="25"/>
      <c r="BV146" s="25"/>
      <c r="BW146" s="25"/>
      <c r="BX146" s="25"/>
      <c r="BY146" s="25"/>
      <c r="BZ146" s="25"/>
      <c r="CA146" s="25"/>
      <c r="CB146" s="25"/>
      <c r="CC146" s="25"/>
      <c r="CD146" s="25"/>
      <c r="CE146" s="25"/>
      <c r="CF146" s="25"/>
      <c r="CG146" s="25"/>
      <c r="CH146" s="25"/>
      <c r="CI146" s="25"/>
      <c r="CJ146" s="25"/>
      <c r="CK146" s="25"/>
      <c r="CL146" s="25"/>
      <c r="CM146" s="25"/>
      <c r="CN146" s="25"/>
      <c r="CO146" s="25"/>
      <c r="CP146" s="25"/>
      <c r="CQ146" s="25"/>
      <c r="CR146" s="25"/>
      <c r="CS146" s="25"/>
      <c r="CT146" s="25"/>
      <c r="CU146" s="25"/>
      <c r="CV146" s="25"/>
      <c r="CW146" s="25"/>
      <c r="CX146" s="25"/>
      <c r="CY146" s="25"/>
      <c r="CZ146" s="25"/>
      <c r="DA146" s="25"/>
      <c r="DB146" s="25"/>
      <c r="DC146" s="25"/>
      <c r="DD146" s="25"/>
      <c r="DE146" s="25"/>
      <c r="DF146" s="25"/>
      <c r="DG146" s="25"/>
      <c r="DH146" s="25"/>
      <c r="DI146" s="25"/>
      <c r="DJ146" s="25"/>
      <c r="DK146" s="25"/>
      <c r="DL146" s="25"/>
      <c r="DM146" s="25"/>
      <c r="DN146" s="25"/>
      <c r="DO146" s="25"/>
      <c r="DP146" s="25"/>
      <c r="DQ146" s="25"/>
      <c r="DR146" s="25"/>
      <c r="DS146" s="25"/>
      <c r="DT146" s="25"/>
      <c r="DU146" s="25"/>
      <c r="DV146" s="25"/>
      <c r="DW146" s="25"/>
      <c r="DX146" s="25"/>
      <c r="DY146" s="25"/>
      <c r="DZ146" s="25"/>
      <c r="EA146" s="25"/>
      <c r="EB146" s="25"/>
      <c r="EC146" s="25"/>
      <c r="ED146" s="25"/>
      <c r="EE146" s="25"/>
      <c r="EF146" s="25"/>
      <c r="EG146" s="25"/>
      <c r="EH146" s="25"/>
      <c r="EI146" s="25"/>
      <c r="EJ146" s="25"/>
      <c r="EK146" s="25"/>
      <c r="EL146" s="25"/>
      <c r="EM146" s="25"/>
      <c r="EN146" s="25"/>
      <c r="EO146" s="25"/>
      <c r="EP146" s="25"/>
      <c r="EQ146" s="25"/>
      <c r="ER146" s="25"/>
      <c r="ES146" s="25"/>
      <c r="ET146" s="25"/>
      <c r="EU146" s="25"/>
      <c r="EV146" s="25"/>
      <c r="EW146" s="25"/>
    </row>
    <row r="147" spans="1:153" ht="17.25" customHeight="1" x14ac:dyDescent="0.25">
      <c r="A147" s="25" t="s">
        <v>123</v>
      </c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  <c r="BC147" s="25"/>
      <c r="BD147" s="25"/>
      <c r="BE147" s="25"/>
      <c r="BF147" s="25"/>
      <c r="BG147" s="25"/>
      <c r="BH147" s="25"/>
      <c r="BI147" s="25"/>
      <c r="BJ147" s="25"/>
      <c r="BK147" s="25"/>
      <c r="BL147" s="25"/>
      <c r="BM147" s="25"/>
      <c r="BN147" s="25"/>
      <c r="BO147" s="25"/>
      <c r="BP147" s="25"/>
      <c r="BQ147" s="25"/>
      <c r="BR147" s="25"/>
      <c r="BS147" s="25"/>
      <c r="BT147" s="25"/>
      <c r="BU147" s="25"/>
      <c r="BV147" s="25"/>
      <c r="BW147" s="25"/>
      <c r="BX147" s="25"/>
      <c r="BY147" s="25"/>
      <c r="BZ147" s="25"/>
      <c r="CA147" s="25"/>
      <c r="CB147" s="25"/>
      <c r="CC147" s="25"/>
      <c r="CD147" s="25"/>
      <c r="CE147" s="25"/>
      <c r="CF147" s="25"/>
      <c r="CG147" s="25"/>
      <c r="CH147" s="25"/>
      <c r="CI147" s="25"/>
      <c r="CJ147" s="25"/>
      <c r="CK147" s="25"/>
      <c r="CL147" s="25"/>
      <c r="CM147" s="25"/>
      <c r="CN147" s="25"/>
      <c r="CO147" s="25"/>
      <c r="CP147" s="25"/>
      <c r="CQ147" s="25"/>
      <c r="CR147" s="25"/>
      <c r="CS147" s="25"/>
      <c r="CT147" s="25"/>
      <c r="CU147" s="25"/>
      <c r="CV147" s="25"/>
      <c r="CW147" s="25"/>
      <c r="CX147" s="25"/>
      <c r="CY147" s="25"/>
      <c r="CZ147" s="25"/>
      <c r="DA147" s="25"/>
      <c r="DB147" s="25"/>
      <c r="DC147" s="25"/>
      <c r="DD147" s="25"/>
      <c r="DE147" s="25"/>
      <c r="DF147" s="25"/>
      <c r="DG147" s="25"/>
      <c r="DH147" s="25"/>
      <c r="DI147" s="25"/>
      <c r="DJ147" s="25"/>
      <c r="DK147" s="25"/>
      <c r="DL147" s="25"/>
      <c r="DM147" s="25"/>
      <c r="DN147" s="25"/>
      <c r="DO147" s="25"/>
      <c r="DP147" s="25"/>
      <c r="DQ147" s="25"/>
      <c r="DR147" s="25"/>
      <c r="DS147" s="25"/>
      <c r="DT147" s="25"/>
      <c r="DU147" s="25"/>
      <c r="DV147" s="25"/>
      <c r="DW147" s="25"/>
      <c r="DX147" s="25"/>
      <c r="DY147" s="25"/>
      <c r="DZ147" s="25"/>
      <c r="EA147" s="25"/>
      <c r="EB147" s="25"/>
      <c r="EC147" s="25"/>
      <c r="ED147" s="25"/>
      <c r="EE147" s="25"/>
      <c r="EF147" s="25"/>
      <c r="EG147" s="25"/>
      <c r="EH147" s="25"/>
      <c r="EI147" s="25"/>
      <c r="EJ147" s="25"/>
      <c r="EK147" s="25"/>
      <c r="EL147" s="25"/>
      <c r="EM147" s="25"/>
      <c r="EN147" s="25"/>
      <c r="EO147" s="25"/>
      <c r="EP147" s="25"/>
      <c r="EQ147" s="25"/>
      <c r="ER147" s="25"/>
      <c r="ES147" s="25"/>
      <c r="ET147" s="25"/>
      <c r="EU147" s="25"/>
      <c r="EV147" s="25"/>
      <c r="EW147" s="25"/>
    </row>
    <row r="148" spans="1:153" ht="17.25" customHeight="1" x14ac:dyDescent="0.25">
      <c r="A148" s="25" t="s">
        <v>244</v>
      </c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  <c r="BC148" s="25"/>
      <c r="BD148" s="25"/>
      <c r="BE148" s="25"/>
      <c r="BF148" s="25"/>
      <c r="BG148" s="25"/>
      <c r="BH148" s="25"/>
      <c r="BI148" s="25"/>
      <c r="BJ148" s="25"/>
      <c r="BK148" s="25"/>
      <c r="BL148" s="25"/>
      <c r="BM148" s="25"/>
      <c r="BN148" s="25"/>
      <c r="BO148" s="25"/>
      <c r="BP148" s="25"/>
      <c r="BQ148" s="25"/>
      <c r="BR148" s="25"/>
      <c r="BS148" s="25"/>
      <c r="BT148" s="25"/>
      <c r="BU148" s="25"/>
      <c r="BV148" s="25"/>
      <c r="BW148" s="25"/>
      <c r="BX148" s="25"/>
      <c r="BY148" s="25"/>
      <c r="BZ148" s="25"/>
      <c r="CA148" s="25"/>
      <c r="CB148" s="25"/>
      <c r="CC148" s="25"/>
      <c r="CD148" s="25"/>
      <c r="CE148" s="25"/>
      <c r="CF148" s="25"/>
      <c r="CG148" s="25"/>
      <c r="CH148" s="25"/>
      <c r="CI148" s="25"/>
      <c r="CJ148" s="25"/>
      <c r="CK148" s="25"/>
      <c r="CL148" s="25"/>
      <c r="CM148" s="25"/>
      <c r="CN148" s="25"/>
      <c r="CO148" s="25"/>
      <c r="CP148" s="25"/>
      <c r="CQ148" s="25"/>
      <c r="CR148" s="25"/>
      <c r="CS148" s="25"/>
      <c r="CT148" s="25"/>
      <c r="CU148" s="25"/>
      <c r="CV148" s="25"/>
      <c r="CW148" s="25"/>
      <c r="CX148" s="25"/>
      <c r="CY148" s="25"/>
      <c r="CZ148" s="25"/>
      <c r="DA148" s="25"/>
      <c r="DB148" s="25"/>
      <c r="DC148" s="25"/>
      <c r="DD148" s="25"/>
      <c r="DE148" s="25"/>
      <c r="DF148" s="25"/>
      <c r="DG148" s="25"/>
      <c r="DH148" s="25"/>
      <c r="DI148" s="25"/>
      <c r="DJ148" s="25"/>
      <c r="DK148" s="25"/>
      <c r="DL148" s="25"/>
      <c r="DM148" s="25"/>
      <c r="DN148" s="25"/>
      <c r="DO148" s="25"/>
      <c r="DP148" s="25"/>
      <c r="DQ148" s="25"/>
      <c r="DR148" s="25"/>
      <c r="DS148" s="25"/>
      <c r="DT148" s="25"/>
      <c r="DU148" s="25"/>
      <c r="DV148" s="25"/>
      <c r="DW148" s="25"/>
      <c r="DX148" s="25"/>
      <c r="DY148" s="25"/>
      <c r="DZ148" s="25"/>
      <c r="EA148" s="25"/>
      <c r="EB148" s="25"/>
      <c r="EC148" s="25"/>
      <c r="ED148" s="25"/>
      <c r="EE148" s="25"/>
      <c r="EF148" s="25"/>
      <c r="EG148" s="25"/>
      <c r="EH148" s="25"/>
      <c r="EI148" s="25"/>
      <c r="EJ148" s="25"/>
      <c r="EK148" s="25"/>
      <c r="EL148" s="25"/>
      <c r="EM148" s="25"/>
      <c r="EN148" s="25"/>
      <c r="EO148" s="25"/>
      <c r="EP148" s="25"/>
      <c r="EQ148" s="25"/>
      <c r="ER148" s="25"/>
      <c r="ES148" s="25"/>
      <c r="ET148" s="25"/>
      <c r="EU148" s="25"/>
      <c r="EV148" s="25"/>
      <c r="EW148" s="25"/>
    </row>
    <row r="149" spans="1:153" ht="17.25" customHeight="1" x14ac:dyDescent="0.25">
      <c r="A149" s="25" t="s">
        <v>245</v>
      </c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  <c r="AU149" s="25"/>
      <c r="AV149" s="25"/>
      <c r="AW149" s="25"/>
      <c r="AX149" s="25"/>
      <c r="AY149" s="25"/>
      <c r="AZ149" s="25"/>
      <c r="BA149" s="25"/>
      <c r="BB149" s="25"/>
      <c r="BC149" s="25"/>
      <c r="BD149" s="25"/>
      <c r="BE149" s="25"/>
      <c r="BF149" s="25"/>
      <c r="BG149" s="25"/>
      <c r="BH149" s="25"/>
      <c r="BI149" s="25"/>
      <c r="BJ149" s="25"/>
      <c r="BK149" s="25"/>
      <c r="BL149" s="25"/>
      <c r="BM149" s="25"/>
      <c r="BN149" s="25"/>
      <c r="BO149" s="25"/>
      <c r="BP149" s="25"/>
      <c r="BQ149" s="25"/>
      <c r="BR149" s="25"/>
      <c r="BS149" s="25"/>
      <c r="BT149" s="25"/>
      <c r="BU149" s="25"/>
      <c r="BV149" s="25"/>
      <c r="BW149" s="25"/>
      <c r="BX149" s="25"/>
      <c r="BY149" s="25"/>
      <c r="BZ149" s="25"/>
      <c r="CA149" s="25"/>
      <c r="CB149" s="25"/>
      <c r="CC149" s="25"/>
      <c r="CD149" s="25"/>
      <c r="CE149" s="25"/>
      <c r="CF149" s="25"/>
      <c r="CG149" s="25"/>
      <c r="CH149" s="25"/>
      <c r="CI149" s="25"/>
      <c r="CJ149" s="25"/>
      <c r="CK149" s="25"/>
      <c r="CL149" s="25"/>
      <c r="CM149" s="25"/>
      <c r="CN149" s="25"/>
      <c r="CO149" s="25"/>
      <c r="CP149" s="25"/>
      <c r="CQ149" s="25"/>
      <c r="CR149" s="25"/>
      <c r="CS149" s="25"/>
      <c r="CT149" s="25"/>
      <c r="CU149" s="25"/>
      <c r="CV149" s="25"/>
      <c r="CW149" s="25"/>
      <c r="CX149" s="25"/>
      <c r="CY149" s="25"/>
      <c r="CZ149" s="25"/>
      <c r="DA149" s="25"/>
      <c r="DB149" s="25"/>
      <c r="DC149" s="25"/>
      <c r="DD149" s="25"/>
      <c r="DE149" s="25"/>
      <c r="DF149" s="25"/>
      <c r="DG149" s="25"/>
      <c r="DH149" s="25"/>
      <c r="DI149" s="25"/>
      <c r="DJ149" s="25"/>
      <c r="DK149" s="25"/>
      <c r="DL149" s="25"/>
      <c r="DM149" s="25"/>
      <c r="DN149" s="25"/>
      <c r="DO149" s="25"/>
      <c r="DP149" s="25"/>
      <c r="DQ149" s="25"/>
      <c r="DR149" s="25"/>
      <c r="DS149" s="25"/>
      <c r="DT149" s="25"/>
      <c r="DU149" s="25"/>
      <c r="DV149" s="25"/>
      <c r="DW149" s="25"/>
      <c r="DX149" s="25"/>
      <c r="DY149" s="25"/>
      <c r="DZ149" s="25"/>
      <c r="EA149" s="25"/>
      <c r="EB149" s="25"/>
      <c r="EC149" s="25"/>
      <c r="ED149" s="25"/>
      <c r="EE149" s="25"/>
      <c r="EF149" s="25"/>
      <c r="EG149" s="25"/>
      <c r="EH149" s="25"/>
      <c r="EI149" s="25"/>
      <c r="EJ149" s="25"/>
      <c r="EK149" s="25"/>
      <c r="EL149" s="25"/>
      <c r="EM149" s="25"/>
      <c r="EN149" s="25"/>
      <c r="EO149" s="25"/>
      <c r="EP149" s="25"/>
      <c r="EQ149" s="25"/>
      <c r="ER149" s="25"/>
      <c r="ES149" s="25"/>
      <c r="ET149" s="25"/>
      <c r="EU149" s="25"/>
      <c r="EV149" s="25"/>
      <c r="EW149" s="25"/>
    </row>
    <row r="150" spans="1:153" ht="17.25" customHeight="1" x14ac:dyDescent="0.25">
      <c r="A150" s="25" t="s">
        <v>246</v>
      </c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  <c r="AU150" s="25"/>
      <c r="AV150" s="25"/>
      <c r="AW150" s="25"/>
      <c r="AX150" s="25"/>
      <c r="AY150" s="25"/>
      <c r="AZ150" s="25"/>
      <c r="BA150" s="25"/>
      <c r="BB150" s="25"/>
      <c r="BC150" s="25"/>
      <c r="BD150" s="25"/>
      <c r="BE150" s="25"/>
      <c r="BF150" s="25"/>
      <c r="BG150" s="25"/>
      <c r="BH150" s="2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BY150" s="25"/>
      <c r="BZ150" s="25"/>
      <c r="CA150" s="25"/>
      <c r="CB150" s="25"/>
      <c r="CC150" s="25"/>
      <c r="CD150" s="25"/>
      <c r="CE150" s="25"/>
      <c r="CF150" s="25"/>
      <c r="CG150" s="25"/>
      <c r="CH150" s="25"/>
      <c r="CI150" s="25"/>
      <c r="CJ150" s="25"/>
      <c r="CK150" s="25"/>
      <c r="CL150" s="25"/>
      <c r="CM150" s="25"/>
      <c r="CN150" s="25"/>
      <c r="CO150" s="25"/>
      <c r="CP150" s="25"/>
      <c r="CQ150" s="25"/>
      <c r="CR150" s="25"/>
      <c r="CS150" s="25"/>
      <c r="CT150" s="25"/>
      <c r="CU150" s="25"/>
      <c r="CV150" s="25"/>
      <c r="CW150" s="25"/>
      <c r="CX150" s="25"/>
      <c r="CY150" s="25"/>
      <c r="CZ150" s="25"/>
      <c r="DA150" s="25"/>
      <c r="DB150" s="25"/>
      <c r="DC150" s="25"/>
      <c r="DD150" s="25"/>
      <c r="DE150" s="25"/>
      <c r="DF150" s="25"/>
      <c r="DG150" s="25"/>
      <c r="DH150" s="25"/>
      <c r="DI150" s="25"/>
      <c r="DJ150" s="25"/>
      <c r="DK150" s="25"/>
      <c r="DL150" s="25"/>
      <c r="DM150" s="25"/>
      <c r="DN150" s="25"/>
      <c r="DO150" s="25"/>
      <c r="DP150" s="25"/>
      <c r="DQ150" s="25"/>
      <c r="DR150" s="25"/>
      <c r="DS150" s="25"/>
      <c r="DT150" s="25"/>
      <c r="DU150" s="25"/>
      <c r="DV150" s="25"/>
      <c r="DW150" s="25"/>
      <c r="DX150" s="25"/>
      <c r="DY150" s="25"/>
      <c r="DZ150" s="25"/>
      <c r="EA150" s="25"/>
      <c r="EB150" s="25"/>
      <c r="EC150" s="25"/>
      <c r="ED150" s="25"/>
      <c r="EE150" s="25"/>
      <c r="EF150" s="25"/>
      <c r="EG150" s="25"/>
      <c r="EH150" s="25"/>
      <c r="EI150" s="25"/>
      <c r="EJ150" s="25"/>
      <c r="EK150" s="25"/>
      <c r="EL150" s="25"/>
      <c r="EM150" s="25"/>
      <c r="EN150" s="25"/>
      <c r="EO150" s="25"/>
      <c r="EP150" s="25"/>
      <c r="EQ150" s="25"/>
      <c r="ER150" s="25"/>
      <c r="ES150" s="25"/>
      <c r="ET150" s="25"/>
      <c r="EU150" s="25"/>
      <c r="EV150" s="25"/>
      <c r="EW150" s="25"/>
    </row>
    <row r="151" spans="1:153" ht="17.25" customHeight="1" x14ac:dyDescent="0.25">
      <c r="A151" s="25" t="s">
        <v>247</v>
      </c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  <c r="BC151" s="25"/>
      <c r="BD151" s="25"/>
      <c r="BE151" s="25"/>
      <c r="BF151" s="25"/>
      <c r="BG151" s="25"/>
      <c r="BH151" s="2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BY151" s="25"/>
      <c r="BZ151" s="25"/>
      <c r="CA151" s="25"/>
      <c r="CB151" s="25"/>
      <c r="CC151" s="25"/>
      <c r="CD151" s="25"/>
      <c r="CE151" s="25"/>
      <c r="CF151" s="25"/>
      <c r="CG151" s="25"/>
      <c r="CH151" s="25"/>
      <c r="CI151" s="25"/>
      <c r="CJ151" s="25"/>
      <c r="CK151" s="25"/>
      <c r="CL151" s="25"/>
      <c r="CM151" s="25"/>
      <c r="CN151" s="25"/>
      <c r="CO151" s="25"/>
      <c r="CP151" s="25"/>
      <c r="CQ151" s="25"/>
      <c r="CR151" s="25"/>
      <c r="CS151" s="25"/>
      <c r="CT151" s="25"/>
      <c r="CU151" s="25"/>
      <c r="CV151" s="25"/>
      <c r="CW151" s="25"/>
      <c r="CX151" s="25"/>
      <c r="CY151" s="25"/>
      <c r="CZ151" s="25"/>
      <c r="DA151" s="25"/>
      <c r="DB151" s="25"/>
      <c r="DC151" s="25"/>
      <c r="DD151" s="25"/>
      <c r="DE151" s="25"/>
      <c r="DF151" s="25"/>
      <c r="DG151" s="25"/>
      <c r="DH151" s="25"/>
      <c r="DI151" s="25"/>
      <c r="DJ151" s="25"/>
      <c r="DK151" s="25"/>
      <c r="DL151" s="25"/>
      <c r="DM151" s="25"/>
      <c r="DN151" s="25"/>
      <c r="DO151" s="25"/>
      <c r="DP151" s="25"/>
      <c r="DQ151" s="25"/>
      <c r="DR151" s="25"/>
      <c r="DS151" s="25"/>
      <c r="DT151" s="25"/>
      <c r="DU151" s="25"/>
      <c r="DV151" s="25"/>
      <c r="DW151" s="25"/>
      <c r="DX151" s="25"/>
      <c r="DY151" s="25"/>
      <c r="DZ151" s="25"/>
      <c r="EA151" s="25"/>
      <c r="EB151" s="25"/>
      <c r="EC151" s="25"/>
      <c r="ED151" s="25"/>
      <c r="EE151" s="25"/>
      <c r="EF151" s="25"/>
      <c r="EG151" s="25"/>
      <c r="EH151" s="25"/>
      <c r="EI151" s="25"/>
      <c r="EJ151" s="25"/>
      <c r="EK151" s="25"/>
      <c r="EL151" s="25"/>
      <c r="EM151" s="25"/>
      <c r="EN151" s="25"/>
      <c r="EO151" s="25"/>
      <c r="EP151" s="25"/>
      <c r="EQ151" s="25"/>
      <c r="ER151" s="25"/>
      <c r="ES151" s="25"/>
      <c r="ET151" s="25"/>
      <c r="EU151" s="25"/>
      <c r="EV151" s="25"/>
      <c r="EW151" s="25"/>
    </row>
    <row r="152" spans="1:153" ht="17.25" customHeight="1" x14ac:dyDescent="0.25">
      <c r="A152" s="25" t="s">
        <v>248</v>
      </c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  <c r="AU152" s="25"/>
      <c r="AV152" s="25"/>
      <c r="AW152" s="25"/>
      <c r="AX152" s="25"/>
      <c r="AY152" s="25"/>
      <c r="AZ152" s="25"/>
      <c r="BA152" s="25"/>
      <c r="BB152" s="25"/>
      <c r="BC152" s="25"/>
      <c r="BD152" s="25"/>
      <c r="BE152" s="25"/>
      <c r="BF152" s="25"/>
      <c r="BG152" s="25"/>
      <c r="BH152" s="2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BY152" s="25"/>
      <c r="BZ152" s="25"/>
      <c r="CA152" s="25"/>
      <c r="CB152" s="25"/>
      <c r="CC152" s="25"/>
      <c r="CD152" s="25"/>
      <c r="CE152" s="25"/>
      <c r="CF152" s="25"/>
      <c r="CG152" s="25"/>
      <c r="CH152" s="25"/>
      <c r="CI152" s="25"/>
      <c r="CJ152" s="25"/>
      <c r="CK152" s="25"/>
      <c r="CL152" s="25"/>
      <c r="CM152" s="25"/>
      <c r="CN152" s="25"/>
      <c r="CO152" s="25"/>
      <c r="CP152" s="25"/>
      <c r="CQ152" s="25"/>
      <c r="CR152" s="25"/>
      <c r="CS152" s="25"/>
      <c r="CT152" s="25"/>
      <c r="CU152" s="25"/>
      <c r="CV152" s="25"/>
      <c r="CW152" s="25"/>
      <c r="CX152" s="25"/>
      <c r="CY152" s="25"/>
      <c r="CZ152" s="25"/>
      <c r="DA152" s="25"/>
      <c r="DB152" s="25"/>
      <c r="DC152" s="25"/>
      <c r="DD152" s="25"/>
      <c r="DE152" s="25"/>
      <c r="DF152" s="25"/>
      <c r="DG152" s="25"/>
      <c r="DH152" s="25"/>
      <c r="DI152" s="25"/>
      <c r="DJ152" s="25"/>
      <c r="DK152" s="25"/>
      <c r="DL152" s="25"/>
      <c r="DM152" s="25"/>
      <c r="DN152" s="25"/>
      <c r="DO152" s="25"/>
      <c r="DP152" s="25"/>
      <c r="DQ152" s="25"/>
      <c r="DR152" s="25"/>
      <c r="DS152" s="25"/>
      <c r="DT152" s="25"/>
      <c r="DU152" s="25"/>
      <c r="DV152" s="25"/>
      <c r="DW152" s="25"/>
      <c r="DX152" s="25"/>
      <c r="DY152" s="25"/>
      <c r="DZ152" s="25"/>
      <c r="EA152" s="25"/>
      <c r="EB152" s="25"/>
      <c r="EC152" s="25"/>
      <c r="ED152" s="25"/>
      <c r="EE152" s="25"/>
      <c r="EF152" s="25"/>
      <c r="EG152" s="25"/>
      <c r="EH152" s="25"/>
      <c r="EI152" s="25"/>
      <c r="EJ152" s="25"/>
      <c r="EK152" s="25"/>
      <c r="EL152" s="25"/>
      <c r="EM152" s="25"/>
      <c r="EN152" s="25"/>
      <c r="EO152" s="25"/>
      <c r="EP152" s="25"/>
      <c r="EQ152" s="25"/>
      <c r="ER152" s="25"/>
      <c r="ES152" s="25"/>
      <c r="ET152" s="25"/>
      <c r="EU152" s="25"/>
      <c r="EV152" s="25"/>
      <c r="EW152" s="2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llDistances">
                <anchor moveWithCells="1" sizeWithCells="1">
                  <from>
                    <xdr:col>101</xdr:col>
                    <xdr:colOff>381000</xdr:colOff>
                    <xdr:row>44</xdr:row>
                    <xdr:rowOff>76200</xdr:rowOff>
                  </from>
                  <to>
                    <xdr:col>111</xdr:col>
                    <xdr:colOff>95250</xdr:colOff>
                    <xdr:row>46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17"/>
  <sheetViews>
    <sheetView tabSelected="1" workbookViewId="0">
      <selection activeCell="E6" sqref="E6"/>
    </sheetView>
  </sheetViews>
  <sheetFormatPr defaultRowHeight="15" x14ac:dyDescent="0.25"/>
  <cols>
    <col min="1" max="1" width="24.42578125" style="31" bestFit="1" customWidth="1"/>
    <col min="2" max="2" width="49.7109375" style="31" bestFit="1" customWidth="1"/>
    <col min="3" max="3" width="32.28515625" style="31" customWidth="1"/>
    <col min="4" max="4" width="20.42578125" style="31" bestFit="1" customWidth="1"/>
    <col min="5" max="5" width="24.42578125" style="31" bestFit="1" customWidth="1"/>
    <col min="6" max="6" width="45" style="31" bestFit="1" customWidth="1"/>
    <col min="7" max="16384" width="9.140625" style="31"/>
  </cols>
  <sheetData>
    <row r="1" spans="1:5" ht="21" customHeight="1" x14ac:dyDescent="0.25">
      <c r="A1" s="31" t="s">
        <v>345</v>
      </c>
      <c r="B1" s="31" t="s">
        <v>249</v>
      </c>
      <c r="C1" s="31" t="s">
        <v>462</v>
      </c>
      <c r="D1" s="31" t="s">
        <v>460</v>
      </c>
      <c r="E1" s="31" t="s">
        <v>461</v>
      </c>
    </row>
    <row r="2" spans="1:5" ht="21" customHeight="1" x14ac:dyDescent="0.25">
      <c r="A2" s="31" t="s">
        <v>346</v>
      </c>
      <c r="B2" s="31" t="s">
        <v>250</v>
      </c>
      <c r="C2" s="31" t="s">
        <v>463</v>
      </c>
    </row>
    <row r="3" spans="1:5" ht="21" customHeight="1" x14ac:dyDescent="0.25">
      <c r="A3" s="31" t="s">
        <v>347</v>
      </c>
      <c r="B3" s="31" t="s">
        <v>251</v>
      </c>
      <c r="C3" s="32" t="s">
        <v>466</v>
      </c>
      <c r="D3" s="31" t="s">
        <v>465</v>
      </c>
      <c r="E3" s="31" t="s">
        <v>464</v>
      </c>
    </row>
    <row r="4" spans="1:5" ht="21" customHeight="1" x14ac:dyDescent="0.25">
      <c r="A4" s="31" t="s">
        <v>348</v>
      </c>
      <c r="B4" s="31" t="s">
        <v>252</v>
      </c>
      <c r="C4" s="32" t="s">
        <v>467</v>
      </c>
      <c r="D4" s="31" t="s">
        <v>468</v>
      </c>
      <c r="E4" s="31" t="s">
        <v>469</v>
      </c>
    </row>
    <row r="5" spans="1:5" ht="21" customHeight="1" x14ac:dyDescent="0.25">
      <c r="A5" s="31" t="s">
        <v>349</v>
      </c>
      <c r="B5" s="31" t="s">
        <v>253</v>
      </c>
    </row>
    <row r="6" spans="1:5" ht="21" customHeight="1" x14ac:dyDescent="0.25">
      <c r="A6" s="31" t="s">
        <v>350</v>
      </c>
      <c r="B6" s="31" t="s">
        <v>103</v>
      </c>
    </row>
    <row r="7" spans="1:5" ht="21" customHeight="1" x14ac:dyDescent="0.25">
      <c r="A7" s="31" t="s">
        <v>351</v>
      </c>
      <c r="B7" s="31" t="s">
        <v>254</v>
      </c>
    </row>
    <row r="8" spans="1:5" ht="21" customHeight="1" x14ac:dyDescent="0.25">
      <c r="A8" s="31" t="s">
        <v>352</v>
      </c>
      <c r="B8" s="31" t="s">
        <v>255</v>
      </c>
    </row>
    <row r="9" spans="1:5" ht="21" customHeight="1" x14ac:dyDescent="0.25">
      <c r="A9" s="31" t="s">
        <v>353</v>
      </c>
      <c r="B9" s="31" t="s">
        <v>256</v>
      </c>
    </row>
    <row r="10" spans="1:5" ht="21" customHeight="1" x14ac:dyDescent="0.25">
      <c r="A10" s="31" t="s">
        <v>354</v>
      </c>
      <c r="B10" s="31" t="s">
        <v>257</v>
      </c>
    </row>
    <row r="11" spans="1:5" ht="21" customHeight="1" x14ac:dyDescent="0.25">
      <c r="A11" s="31" t="s">
        <v>355</v>
      </c>
      <c r="B11" s="31" t="s">
        <v>104</v>
      </c>
    </row>
    <row r="12" spans="1:5" ht="21" customHeight="1" x14ac:dyDescent="0.25">
      <c r="A12" s="31" t="s">
        <v>356</v>
      </c>
      <c r="B12" s="31" t="s">
        <v>258</v>
      </c>
    </row>
    <row r="13" spans="1:5" ht="21" customHeight="1" x14ac:dyDescent="0.25">
      <c r="A13" s="31" t="s">
        <v>357</v>
      </c>
      <c r="B13" s="31" t="s">
        <v>105</v>
      </c>
    </row>
    <row r="14" spans="1:5" ht="21" customHeight="1" x14ac:dyDescent="0.25">
      <c r="A14" s="31" t="s">
        <v>358</v>
      </c>
      <c r="B14" s="31" t="s">
        <v>259</v>
      </c>
    </row>
    <row r="15" spans="1:5" ht="21" customHeight="1" x14ac:dyDescent="0.25">
      <c r="A15" s="31" t="s">
        <v>359</v>
      </c>
      <c r="B15" s="31" t="s">
        <v>106</v>
      </c>
    </row>
    <row r="16" spans="1:5" ht="21" customHeight="1" x14ac:dyDescent="0.25">
      <c r="A16" s="31" t="s">
        <v>360</v>
      </c>
      <c r="B16" s="31" t="s">
        <v>260</v>
      </c>
    </row>
    <row r="17" spans="1:2" ht="21" customHeight="1" x14ac:dyDescent="0.25">
      <c r="A17" s="31" t="s">
        <v>361</v>
      </c>
      <c r="B17" s="31" t="s">
        <v>261</v>
      </c>
    </row>
    <row r="18" spans="1:2" ht="21" customHeight="1" x14ac:dyDescent="0.25">
      <c r="A18" s="31" t="s">
        <v>362</v>
      </c>
      <c r="B18" s="31" t="s">
        <v>262</v>
      </c>
    </row>
    <row r="19" spans="1:2" ht="21" customHeight="1" x14ac:dyDescent="0.25">
      <c r="A19" s="31" t="s">
        <v>363</v>
      </c>
      <c r="B19" s="31" t="s">
        <v>263</v>
      </c>
    </row>
    <row r="20" spans="1:2" ht="21" customHeight="1" x14ac:dyDescent="0.25">
      <c r="A20" s="31" t="s">
        <v>364</v>
      </c>
      <c r="B20" s="31" t="s">
        <v>107</v>
      </c>
    </row>
    <row r="21" spans="1:2" ht="21" customHeight="1" x14ac:dyDescent="0.25">
      <c r="A21" s="31" t="s">
        <v>365</v>
      </c>
      <c r="B21" s="31" t="s">
        <v>264</v>
      </c>
    </row>
    <row r="22" spans="1:2" ht="21" customHeight="1" x14ac:dyDescent="0.25">
      <c r="A22" s="31" t="s">
        <v>366</v>
      </c>
      <c r="B22" s="31" t="s">
        <v>265</v>
      </c>
    </row>
    <row r="23" spans="1:2" ht="21" customHeight="1" x14ac:dyDescent="0.25">
      <c r="A23" s="31" t="s">
        <v>367</v>
      </c>
      <c r="B23" s="31" t="s">
        <v>266</v>
      </c>
    </row>
    <row r="24" spans="1:2" ht="21" customHeight="1" x14ac:dyDescent="0.25">
      <c r="A24" s="31" t="s">
        <v>368</v>
      </c>
      <c r="B24" s="31" t="s">
        <v>267</v>
      </c>
    </row>
    <row r="25" spans="1:2" ht="21" customHeight="1" x14ac:dyDescent="0.25">
      <c r="A25" s="31" t="s">
        <v>369</v>
      </c>
      <c r="B25" s="31" t="s">
        <v>268</v>
      </c>
    </row>
    <row r="26" spans="1:2" ht="21" customHeight="1" x14ac:dyDescent="0.25">
      <c r="A26" s="31" t="s">
        <v>370</v>
      </c>
      <c r="B26" s="31" t="s">
        <v>269</v>
      </c>
    </row>
    <row r="27" spans="1:2" ht="21" customHeight="1" x14ac:dyDescent="0.25">
      <c r="A27" s="31" t="s">
        <v>371</v>
      </c>
      <c r="B27" s="31" t="s">
        <v>270</v>
      </c>
    </row>
    <row r="28" spans="1:2" ht="21" customHeight="1" x14ac:dyDescent="0.25">
      <c r="A28" s="31" t="s">
        <v>372</v>
      </c>
      <c r="B28" s="31" t="s">
        <v>108</v>
      </c>
    </row>
    <row r="29" spans="1:2" ht="21" customHeight="1" x14ac:dyDescent="0.25">
      <c r="A29" s="31" t="s">
        <v>373</v>
      </c>
      <c r="B29" s="31" t="s">
        <v>271</v>
      </c>
    </row>
    <row r="30" spans="1:2" ht="21" customHeight="1" x14ac:dyDescent="0.25">
      <c r="A30" s="31" t="s">
        <v>374</v>
      </c>
      <c r="B30" s="31" t="s">
        <v>272</v>
      </c>
    </row>
    <row r="31" spans="1:2" ht="21" customHeight="1" x14ac:dyDescent="0.25">
      <c r="A31" s="31" t="s">
        <v>375</v>
      </c>
      <c r="B31" s="31" t="s">
        <v>273</v>
      </c>
    </row>
    <row r="32" spans="1:2" ht="21" customHeight="1" x14ac:dyDescent="0.25">
      <c r="A32" s="31" t="s">
        <v>376</v>
      </c>
      <c r="B32" s="31" t="s">
        <v>274</v>
      </c>
    </row>
    <row r="33" spans="1:2" ht="21" customHeight="1" x14ac:dyDescent="0.25">
      <c r="A33" s="31" t="s">
        <v>377</v>
      </c>
      <c r="B33" s="31" t="s">
        <v>275</v>
      </c>
    </row>
    <row r="34" spans="1:2" ht="21" customHeight="1" x14ac:dyDescent="0.25">
      <c r="A34" s="31" t="s">
        <v>378</v>
      </c>
      <c r="B34" s="31" t="s">
        <v>276</v>
      </c>
    </row>
    <row r="35" spans="1:2" ht="21" customHeight="1" x14ac:dyDescent="0.25">
      <c r="A35" s="31" t="s">
        <v>379</v>
      </c>
      <c r="B35" s="31" t="s">
        <v>277</v>
      </c>
    </row>
    <row r="36" spans="1:2" ht="21" customHeight="1" x14ac:dyDescent="0.25">
      <c r="A36" s="31" t="s">
        <v>380</v>
      </c>
      <c r="B36" s="31" t="s">
        <v>109</v>
      </c>
    </row>
    <row r="37" spans="1:2" ht="21" customHeight="1" x14ac:dyDescent="0.25">
      <c r="A37" s="31" t="s">
        <v>381</v>
      </c>
      <c r="B37" s="31" t="s">
        <v>278</v>
      </c>
    </row>
    <row r="38" spans="1:2" ht="21" customHeight="1" x14ac:dyDescent="0.25">
      <c r="A38" s="31" t="s">
        <v>382</v>
      </c>
      <c r="B38" s="31" t="s">
        <v>279</v>
      </c>
    </row>
    <row r="39" spans="1:2" ht="21" customHeight="1" x14ac:dyDescent="0.25">
      <c r="A39" s="31" t="s">
        <v>383</v>
      </c>
      <c r="B39" s="31" t="s">
        <v>280</v>
      </c>
    </row>
    <row r="40" spans="1:2" ht="21" customHeight="1" x14ac:dyDescent="0.25">
      <c r="A40" s="31" t="s">
        <v>384</v>
      </c>
      <c r="B40" s="31" t="s">
        <v>281</v>
      </c>
    </row>
    <row r="41" spans="1:2" ht="21" customHeight="1" x14ac:dyDescent="0.25">
      <c r="A41" s="31" t="s">
        <v>385</v>
      </c>
      <c r="B41" s="31" t="s">
        <v>282</v>
      </c>
    </row>
    <row r="42" spans="1:2" ht="21" customHeight="1" x14ac:dyDescent="0.25">
      <c r="A42" s="31" t="s">
        <v>386</v>
      </c>
      <c r="B42" s="31" t="s">
        <v>283</v>
      </c>
    </row>
    <row r="43" spans="1:2" ht="21" customHeight="1" x14ac:dyDescent="0.25">
      <c r="A43" s="31" t="s">
        <v>387</v>
      </c>
      <c r="B43" s="31" t="s">
        <v>110</v>
      </c>
    </row>
    <row r="44" spans="1:2" ht="21" customHeight="1" x14ac:dyDescent="0.25">
      <c r="A44" s="31" t="s">
        <v>388</v>
      </c>
      <c r="B44" s="31" t="s">
        <v>284</v>
      </c>
    </row>
    <row r="45" spans="1:2" ht="21" customHeight="1" x14ac:dyDescent="0.25">
      <c r="A45" s="31" t="s">
        <v>389</v>
      </c>
      <c r="B45" s="31" t="s">
        <v>285</v>
      </c>
    </row>
    <row r="46" spans="1:2" ht="21" customHeight="1" x14ac:dyDescent="0.25">
      <c r="A46" s="31" t="s">
        <v>390</v>
      </c>
      <c r="B46" s="31" t="s">
        <v>286</v>
      </c>
    </row>
    <row r="47" spans="1:2" ht="21" customHeight="1" x14ac:dyDescent="0.25">
      <c r="A47" s="31" t="s">
        <v>391</v>
      </c>
      <c r="B47" s="31" t="s">
        <v>111</v>
      </c>
    </row>
    <row r="48" spans="1:2" ht="21" customHeight="1" x14ac:dyDescent="0.25">
      <c r="A48" s="31" t="s">
        <v>392</v>
      </c>
      <c r="B48" s="31" t="s">
        <v>287</v>
      </c>
    </row>
    <row r="49" spans="1:2" ht="21" customHeight="1" x14ac:dyDescent="0.25">
      <c r="A49" s="31" t="s">
        <v>393</v>
      </c>
      <c r="B49" s="31" t="s">
        <v>288</v>
      </c>
    </row>
    <row r="50" spans="1:2" ht="21" customHeight="1" x14ac:dyDescent="0.25">
      <c r="A50" s="31" t="s">
        <v>394</v>
      </c>
      <c r="B50" s="31" t="s">
        <v>289</v>
      </c>
    </row>
    <row r="51" spans="1:2" ht="21" customHeight="1" x14ac:dyDescent="0.25">
      <c r="A51" s="31" t="s">
        <v>395</v>
      </c>
      <c r="B51" s="31" t="s">
        <v>290</v>
      </c>
    </row>
    <row r="52" spans="1:2" ht="21" customHeight="1" x14ac:dyDescent="0.25">
      <c r="A52" s="31" t="s">
        <v>396</v>
      </c>
      <c r="B52" s="31" t="s">
        <v>112</v>
      </c>
    </row>
    <row r="53" spans="1:2" ht="21" customHeight="1" x14ac:dyDescent="0.25">
      <c r="A53" s="31" t="s">
        <v>397</v>
      </c>
      <c r="B53" s="31" t="s">
        <v>291</v>
      </c>
    </row>
    <row r="54" spans="1:2" ht="21" customHeight="1" x14ac:dyDescent="0.25">
      <c r="A54" s="31" t="s">
        <v>398</v>
      </c>
      <c r="B54" s="31" t="s">
        <v>292</v>
      </c>
    </row>
    <row r="55" spans="1:2" ht="21" customHeight="1" x14ac:dyDescent="0.25">
      <c r="A55" s="31" t="s">
        <v>399</v>
      </c>
      <c r="B55" s="31" t="s">
        <v>293</v>
      </c>
    </row>
    <row r="56" spans="1:2" ht="21" customHeight="1" x14ac:dyDescent="0.25">
      <c r="A56" s="31" t="s">
        <v>400</v>
      </c>
      <c r="B56" s="31" t="s">
        <v>294</v>
      </c>
    </row>
    <row r="57" spans="1:2" ht="21" customHeight="1" x14ac:dyDescent="0.25">
      <c r="A57" s="31" t="s">
        <v>401</v>
      </c>
      <c r="B57" s="31" t="s">
        <v>295</v>
      </c>
    </row>
    <row r="58" spans="1:2" ht="21" customHeight="1" x14ac:dyDescent="0.25">
      <c r="A58" s="31" t="s">
        <v>402</v>
      </c>
      <c r="B58" s="31" t="s">
        <v>113</v>
      </c>
    </row>
    <row r="59" spans="1:2" ht="21" customHeight="1" x14ac:dyDescent="0.25">
      <c r="A59" s="31" t="s">
        <v>403</v>
      </c>
      <c r="B59" s="31" t="s">
        <v>296</v>
      </c>
    </row>
    <row r="60" spans="1:2" ht="21" customHeight="1" x14ac:dyDescent="0.25">
      <c r="A60" s="31" t="s">
        <v>404</v>
      </c>
      <c r="B60" s="31" t="s">
        <v>297</v>
      </c>
    </row>
    <row r="61" spans="1:2" ht="21" customHeight="1" x14ac:dyDescent="0.25">
      <c r="A61" s="31" t="s">
        <v>405</v>
      </c>
      <c r="B61" s="31" t="s">
        <v>298</v>
      </c>
    </row>
    <row r="62" spans="1:2" ht="21" customHeight="1" x14ac:dyDescent="0.25">
      <c r="A62" s="31" t="s">
        <v>406</v>
      </c>
      <c r="B62" s="31" t="s">
        <v>299</v>
      </c>
    </row>
    <row r="63" spans="1:2" ht="21" customHeight="1" x14ac:dyDescent="0.25">
      <c r="A63" s="31" t="s">
        <v>407</v>
      </c>
      <c r="B63" s="31" t="s">
        <v>300</v>
      </c>
    </row>
    <row r="64" spans="1:2" ht="21" customHeight="1" x14ac:dyDescent="0.25">
      <c r="A64" s="31" t="s">
        <v>408</v>
      </c>
      <c r="B64" s="31" t="s">
        <v>301</v>
      </c>
    </row>
    <row r="65" spans="1:2" ht="21" customHeight="1" x14ac:dyDescent="0.25">
      <c r="A65" s="31" t="s">
        <v>409</v>
      </c>
      <c r="B65" s="31" t="s">
        <v>302</v>
      </c>
    </row>
    <row r="66" spans="1:2" ht="21" customHeight="1" x14ac:dyDescent="0.25">
      <c r="A66" s="31" t="s">
        <v>410</v>
      </c>
      <c r="B66" s="31" t="s">
        <v>303</v>
      </c>
    </row>
    <row r="67" spans="1:2" ht="21" customHeight="1" x14ac:dyDescent="0.25">
      <c r="A67" s="31" t="s">
        <v>411</v>
      </c>
      <c r="B67" s="31" t="s">
        <v>304</v>
      </c>
    </row>
    <row r="68" spans="1:2" ht="21" customHeight="1" x14ac:dyDescent="0.25">
      <c r="A68" s="31" t="s">
        <v>412</v>
      </c>
      <c r="B68" s="31" t="s">
        <v>114</v>
      </c>
    </row>
    <row r="69" spans="1:2" ht="21" customHeight="1" x14ac:dyDescent="0.25">
      <c r="A69" s="31" t="s">
        <v>413</v>
      </c>
      <c r="B69" s="31" t="s">
        <v>305</v>
      </c>
    </row>
    <row r="70" spans="1:2" ht="21" customHeight="1" x14ac:dyDescent="0.25">
      <c r="A70" s="31" t="s">
        <v>414</v>
      </c>
      <c r="B70" s="31" t="s">
        <v>115</v>
      </c>
    </row>
    <row r="71" spans="1:2" ht="21" customHeight="1" x14ac:dyDescent="0.25">
      <c r="A71" s="31" t="s">
        <v>415</v>
      </c>
      <c r="B71" s="31" t="s">
        <v>116</v>
      </c>
    </row>
    <row r="72" spans="1:2" ht="21" customHeight="1" x14ac:dyDescent="0.25">
      <c r="A72" s="31" t="s">
        <v>416</v>
      </c>
      <c r="B72" s="31" t="s">
        <v>117</v>
      </c>
    </row>
    <row r="73" spans="1:2" ht="21" customHeight="1" x14ac:dyDescent="0.25">
      <c r="A73" s="31" t="s">
        <v>417</v>
      </c>
      <c r="B73" s="31" t="s">
        <v>306</v>
      </c>
    </row>
    <row r="74" spans="1:2" ht="21" customHeight="1" x14ac:dyDescent="0.25">
      <c r="A74" s="31" t="s">
        <v>418</v>
      </c>
      <c r="B74" s="31" t="s">
        <v>118</v>
      </c>
    </row>
    <row r="75" spans="1:2" ht="21" customHeight="1" x14ac:dyDescent="0.25">
      <c r="A75" s="31" t="s">
        <v>419</v>
      </c>
      <c r="B75" s="31" t="s">
        <v>307</v>
      </c>
    </row>
    <row r="76" spans="1:2" ht="21" customHeight="1" x14ac:dyDescent="0.25">
      <c r="A76" s="31" t="s">
        <v>420</v>
      </c>
      <c r="B76" s="31" t="s">
        <v>119</v>
      </c>
    </row>
    <row r="77" spans="1:2" ht="21" customHeight="1" x14ac:dyDescent="0.25">
      <c r="A77" s="31" t="s">
        <v>421</v>
      </c>
      <c r="B77" s="31" t="s">
        <v>308</v>
      </c>
    </row>
    <row r="78" spans="1:2" ht="21" customHeight="1" x14ac:dyDescent="0.25">
      <c r="A78" s="31" t="s">
        <v>422</v>
      </c>
      <c r="B78" s="31" t="s">
        <v>309</v>
      </c>
    </row>
    <row r="79" spans="1:2" ht="21" customHeight="1" x14ac:dyDescent="0.25">
      <c r="A79" s="31" t="s">
        <v>423</v>
      </c>
      <c r="B79" s="31" t="s">
        <v>310</v>
      </c>
    </row>
    <row r="80" spans="1:2" ht="21" customHeight="1" x14ac:dyDescent="0.25">
      <c r="A80" s="31" t="s">
        <v>424</v>
      </c>
      <c r="B80" s="31" t="s">
        <v>311</v>
      </c>
    </row>
    <row r="81" spans="1:2" ht="21" customHeight="1" x14ac:dyDescent="0.25">
      <c r="A81" s="31" t="s">
        <v>425</v>
      </c>
      <c r="B81" s="31" t="s">
        <v>312</v>
      </c>
    </row>
    <row r="82" spans="1:2" ht="21" customHeight="1" x14ac:dyDescent="0.25">
      <c r="A82" s="31" t="s">
        <v>426</v>
      </c>
      <c r="B82" s="31" t="s">
        <v>313</v>
      </c>
    </row>
    <row r="83" spans="1:2" ht="21" customHeight="1" x14ac:dyDescent="0.25">
      <c r="A83" s="31" t="s">
        <v>427</v>
      </c>
      <c r="B83" s="31" t="s">
        <v>314</v>
      </c>
    </row>
    <row r="84" spans="1:2" ht="21" customHeight="1" x14ac:dyDescent="0.25">
      <c r="A84" s="31" t="s">
        <v>428</v>
      </c>
      <c r="B84" s="31" t="s">
        <v>315</v>
      </c>
    </row>
    <row r="85" spans="1:2" ht="21" customHeight="1" x14ac:dyDescent="0.25">
      <c r="A85" s="31" t="s">
        <v>429</v>
      </c>
      <c r="B85" s="31" t="s">
        <v>316</v>
      </c>
    </row>
    <row r="86" spans="1:2" ht="21" customHeight="1" x14ac:dyDescent="0.25">
      <c r="A86" s="31" t="s">
        <v>430</v>
      </c>
      <c r="B86" s="31" t="s">
        <v>317</v>
      </c>
    </row>
    <row r="87" spans="1:2" ht="21" customHeight="1" x14ac:dyDescent="0.25">
      <c r="A87" s="31" t="s">
        <v>431</v>
      </c>
      <c r="B87" s="31" t="s">
        <v>318</v>
      </c>
    </row>
    <row r="88" spans="1:2" ht="21" customHeight="1" x14ac:dyDescent="0.25">
      <c r="A88" s="31" t="s">
        <v>432</v>
      </c>
      <c r="B88" s="31" t="s">
        <v>319</v>
      </c>
    </row>
    <row r="89" spans="1:2" ht="21" customHeight="1" x14ac:dyDescent="0.25">
      <c r="A89" s="31" t="s">
        <v>433</v>
      </c>
      <c r="B89" s="31" t="s">
        <v>320</v>
      </c>
    </row>
    <row r="90" spans="1:2" ht="21" customHeight="1" x14ac:dyDescent="0.25">
      <c r="A90" s="31" t="s">
        <v>434</v>
      </c>
      <c r="B90" s="31" t="s">
        <v>321</v>
      </c>
    </row>
    <row r="91" spans="1:2" ht="21" customHeight="1" x14ac:dyDescent="0.25">
      <c r="A91" s="31" t="s">
        <v>435</v>
      </c>
      <c r="B91" s="31" t="s">
        <v>322</v>
      </c>
    </row>
    <row r="92" spans="1:2" ht="21" customHeight="1" x14ac:dyDescent="0.25">
      <c r="A92" s="31" t="s">
        <v>436</v>
      </c>
      <c r="B92" s="31" t="s">
        <v>323</v>
      </c>
    </row>
    <row r="93" spans="1:2" ht="21" customHeight="1" x14ac:dyDescent="0.25">
      <c r="A93" s="31" t="s">
        <v>437</v>
      </c>
      <c r="B93" s="31" t="s">
        <v>120</v>
      </c>
    </row>
    <row r="94" spans="1:2" ht="21" customHeight="1" x14ac:dyDescent="0.25">
      <c r="A94" s="31" t="s">
        <v>438</v>
      </c>
      <c r="B94" s="31" t="s">
        <v>324</v>
      </c>
    </row>
    <row r="95" spans="1:2" ht="21" customHeight="1" x14ac:dyDescent="0.25">
      <c r="A95" s="31" t="s">
        <v>439</v>
      </c>
      <c r="B95" s="31" t="s">
        <v>325</v>
      </c>
    </row>
    <row r="96" spans="1:2" ht="21" customHeight="1" x14ac:dyDescent="0.25">
      <c r="A96" s="31" t="s">
        <v>440</v>
      </c>
      <c r="B96" s="31" t="s">
        <v>326</v>
      </c>
    </row>
    <row r="97" spans="1:2" ht="21" customHeight="1" x14ac:dyDescent="0.25">
      <c r="A97" s="31" t="s">
        <v>441</v>
      </c>
      <c r="B97" s="31" t="s">
        <v>327</v>
      </c>
    </row>
    <row r="98" spans="1:2" ht="21" customHeight="1" x14ac:dyDescent="0.25">
      <c r="A98" s="31" t="s">
        <v>442</v>
      </c>
      <c r="B98" s="31" t="s">
        <v>328</v>
      </c>
    </row>
    <row r="99" spans="1:2" ht="21" customHeight="1" x14ac:dyDescent="0.25">
      <c r="A99" s="31" t="s">
        <v>443</v>
      </c>
      <c r="B99" s="31" t="s">
        <v>329</v>
      </c>
    </row>
    <row r="100" spans="1:2" ht="21" customHeight="1" x14ac:dyDescent="0.25">
      <c r="A100" s="31" t="s">
        <v>444</v>
      </c>
      <c r="B100" s="31" t="s">
        <v>330</v>
      </c>
    </row>
    <row r="101" spans="1:2" ht="21" customHeight="1" x14ac:dyDescent="0.25">
      <c r="A101" s="31" t="s">
        <v>445</v>
      </c>
      <c r="B101" s="31" t="s">
        <v>331</v>
      </c>
    </row>
    <row r="102" spans="1:2" ht="21" customHeight="1" x14ac:dyDescent="0.25">
      <c r="A102" s="31" t="s">
        <v>446</v>
      </c>
      <c r="B102" s="31" t="s">
        <v>332</v>
      </c>
    </row>
    <row r="103" spans="1:2" ht="21" customHeight="1" x14ac:dyDescent="0.25">
      <c r="A103" s="31" t="s">
        <v>447</v>
      </c>
      <c r="B103" s="31" t="s">
        <v>333</v>
      </c>
    </row>
    <row r="104" spans="1:2" ht="21" customHeight="1" x14ac:dyDescent="0.25">
      <c r="A104" s="31" t="s">
        <v>448</v>
      </c>
      <c r="B104" s="31" t="s">
        <v>121</v>
      </c>
    </row>
    <row r="105" spans="1:2" ht="21" customHeight="1" x14ac:dyDescent="0.25">
      <c r="A105" s="31" t="s">
        <v>449</v>
      </c>
      <c r="B105" s="31" t="s">
        <v>122</v>
      </c>
    </row>
    <row r="106" spans="1:2" ht="21" customHeight="1" x14ac:dyDescent="0.25">
      <c r="A106" s="31" t="s">
        <v>450</v>
      </c>
      <c r="B106" s="31" t="s">
        <v>334</v>
      </c>
    </row>
    <row r="107" spans="1:2" ht="21" customHeight="1" x14ac:dyDescent="0.25">
      <c r="A107" s="31" t="s">
        <v>451</v>
      </c>
      <c r="B107" s="31" t="s">
        <v>335</v>
      </c>
    </row>
    <row r="108" spans="1:2" ht="21" customHeight="1" x14ac:dyDescent="0.25">
      <c r="A108" s="31" t="s">
        <v>452</v>
      </c>
      <c r="B108" s="31" t="s">
        <v>336</v>
      </c>
    </row>
    <row r="109" spans="1:2" ht="21" customHeight="1" x14ac:dyDescent="0.25">
      <c r="A109" s="31" t="s">
        <v>453</v>
      </c>
      <c r="B109" s="31" t="s">
        <v>123</v>
      </c>
    </row>
    <row r="110" spans="1:2" ht="21" customHeight="1" x14ac:dyDescent="0.25">
      <c r="A110" s="31" t="s">
        <v>454</v>
      </c>
      <c r="B110" s="31" t="s">
        <v>337</v>
      </c>
    </row>
    <row r="111" spans="1:2" ht="21" customHeight="1" x14ac:dyDescent="0.25">
      <c r="A111" s="31" t="s">
        <v>455</v>
      </c>
      <c r="B111" s="31" t="s">
        <v>338</v>
      </c>
    </row>
    <row r="112" spans="1:2" ht="21" customHeight="1" x14ac:dyDescent="0.25">
      <c r="A112" s="31" t="s">
        <v>456</v>
      </c>
      <c r="B112" s="31" t="s">
        <v>339</v>
      </c>
    </row>
    <row r="113" spans="1:2" ht="21" customHeight="1" x14ac:dyDescent="0.25">
      <c r="A113" s="31" t="s">
        <v>457</v>
      </c>
      <c r="B113" s="31" t="s">
        <v>340</v>
      </c>
    </row>
    <row r="114" spans="1:2" ht="21" customHeight="1" x14ac:dyDescent="0.25">
      <c r="A114" s="31" t="s">
        <v>458</v>
      </c>
      <c r="B114" s="31" t="s">
        <v>341</v>
      </c>
    </row>
    <row r="115" spans="1:2" ht="21" customHeight="1" x14ac:dyDescent="0.25">
      <c r="A115" s="31" t="s">
        <v>459</v>
      </c>
      <c r="B115" s="31" t="s">
        <v>342</v>
      </c>
    </row>
    <row r="116" spans="1:2" ht="21" customHeight="1" x14ac:dyDescent="0.25">
      <c r="B116" s="31" t="s">
        <v>343</v>
      </c>
    </row>
    <row r="117" spans="1:2" ht="21" customHeight="1" x14ac:dyDescent="0.25">
      <c r="B117" s="31" t="s">
        <v>344</v>
      </c>
    </row>
  </sheetData>
  <hyperlinks>
    <hyperlink ref="A1" r:id="rId1" display="http://www.c-bike.com.tw/StationShow.aspx?sid=20"/>
    <hyperlink ref="A2" r:id="rId2" display="http://www.c-bike.com.tw/StationShow.aspx?sid=21"/>
    <hyperlink ref="A3" r:id="rId3" display="http://www.c-bike.com.tw/StationShow.aspx?sid=22"/>
    <hyperlink ref="A4" r:id="rId4" display="http://www.c-bike.com.tw/StationShow.aspx?sid=23"/>
    <hyperlink ref="A5" r:id="rId5" display="http://www.c-bike.com.tw/StationShow.aspx?sid=24"/>
    <hyperlink ref="A6" r:id="rId6" display="http://www.c-bike.com.tw/StationShow.aspx?sid=25"/>
    <hyperlink ref="A7" r:id="rId7" display="http://www.c-bike.com.tw/StationShow.aspx?sid=26"/>
    <hyperlink ref="A8" r:id="rId8" display="http://www.c-bike.com.tw/StationShow.aspx?sid=27"/>
    <hyperlink ref="A9" r:id="rId9" display="http://www.c-bike.com.tw/StationShow.aspx?sid=28"/>
    <hyperlink ref="A10" r:id="rId10" display="http://www.c-bike.com.tw/StationShow.aspx?sid=29"/>
    <hyperlink ref="A11" r:id="rId11" display="http://www.c-bike.com.tw/StationShow.aspx?sid=30"/>
    <hyperlink ref="A12" r:id="rId12" display="http://www.c-bike.com.tw/StationShow.aspx?sid=32"/>
    <hyperlink ref="A13" r:id="rId13" display="http://www.c-bike.com.tw/StationShow.aspx?sid=33"/>
    <hyperlink ref="A14" r:id="rId14" display="http://www.c-bike.com.tw/StationShow.aspx?sid=34"/>
    <hyperlink ref="A15" r:id="rId15" display="http://www.c-bike.com.tw/StationShow.aspx?sid=35"/>
    <hyperlink ref="A16" r:id="rId16" display="http://www.c-bike.com.tw/StationShow.aspx?sid=36"/>
    <hyperlink ref="A17" r:id="rId17" display="http://www.c-bike.com.tw/StationShow.aspx?sid=37"/>
    <hyperlink ref="A18" r:id="rId18" display="http://www.c-bike.com.tw/StationShow.aspx?sid=38"/>
    <hyperlink ref="A19" r:id="rId19" display="http://www.c-bike.com.tw/StationShow.aspx?sid=39"/>
    <hyperlink ref="A20" r:id="rId20" display="http://www.c-bike.com.tw/StationShow.aspx?sid=40"/>
    <hyperlink ref="A21" r:id="rId21" display="http://www.c-bike.com.tw/StationShow.aspx?sid=42"/>
    <hyperlink ref="A22" r:id="rId22" display="http://www.c-bike.com.tw/StationShow.aspx?sid=43"/>
    <hyperlink ref="A23" r:id="rId23" display="http://www.c-bike.com.tw/StationShow.aspx?sid=44"/>
    <hyperlink ref="A24" r:id="rId24" display="http://www.c-bike.com.tw/StationShow.aspx?sid=45"/>
    <hyperlink ref="A25" r:id="rId25" display="http://www.c-bike.com.tw/StationShow.aspx?sid=46"/>
    <hyperlink ref="A26" r:id="rId26" display="http://www.c-bike.com.tw/StationShow.aspx?sid=97"/>
    <hyperlink ref="A27" r:id="rId27" display="http://www.c-bike.com.tw/StationShow.aspx?sid=98"/>
    <hyperlink ref="A28" r:id="rId28" display="http://www.c-bike.com.tw/StationShow.aspx?sid=101"/>
    <hyperlink ref="A29" r:id="rId29" display="http://www.c-bike.com.tw/StationShow.aspx?sid=103"/>
    <hyperlink ref="A30" r:id="rId30" display="http://www.c-bike.com.tw/StationShow.aspx?sid=105"/>
    <hyperlink ref="A31" r:id="rId31" display="http://www.c-bike.com.tw/StationShow.aspx?sid=106"/>
    <hyperlink ref="A32" r:id="rId32" display="http://www.c-bike.com.tw/StationShow.aspx?sid=108"/>
    <hyperlink ref="A33" r:id="rId33" display="http://www.c-bike.com.tw/StationShow.aspx?sid=109"/>
    <hyperlink ref="A34" r:id="rId34" display="http://www.c-bike.com.tw/StationShow.aspx?sid=110"/>
    <hyperlink ref="A35" r:id="rId35" display="http://www.c-bike.com.tw/StationShow.aspx?sid=111"/>
    <hyperlink ref="A36" r:id="rId36" display="http://www.c-bike.com.tw/StationShow.aspx?sid=112"/>
    <hyperlink ref="A37" r:id="rId37" display="http://www.c-bike.com.tw/StationShow.aspx?sid=113"/>
    <hyperlink ref="A38" r:id="rId38" display="http://www.c-bike.com.tw/StationShow.aspx?sid=114"/>
    <hyperlink ref="A39" r:id="rId39" display="http://www.c-bike.com.tw/StationShow.aspx?sid=115"/>
    <hyperlink ref="A40" r:id="rId40" display="http://www.c-bike.com.tw/StationShow.aspx?sid=116"/>
    <hyperlink ref="A41" r:id="rId41" display="http://www.c-bike.com.tw/StationShow.aspx?sid=118"/>
    <hyperlink ref="A42" r:id="rId42" display="http://www.c-bike.com.tw/StationShow.aspx?sid=120"/>
    <hyperlink ref="A43" r:id="rId43" display="http://www.c-bike.com.tw/StationShow.aspx?sid=122"/>
    <hyperlink ref="A44" r:id="rId44" display="http://www.c-bike.com.tw/StationShow.aspx?sid=125"/>
    <hyperlink ref="A45" r:id="rId45" display="http://www.c-bike.com.tw/StationShow.aspx?sid=126"/>
    <hyperlink ref="A46" r:id="rId46" display="http://www.c-bike.com.tw/StationShow.aspx?sid=127"/>
    <hyperlink ref="A47" r:id="rId47" display="http://www.c-bike.com.tw/StationShow.aspx?sid=128"/>
    <hyperlink ref="A48" r:id="rId48" display="http://www.c-bike.com.tw/StationShow.aspx?sid=129"/>
    <hyperlink ref="A49" r:id="rId49" display="http://www.c-bike.com.tw/StationShow.aspx?sid=130"/>
    <hyperlink ref="A50" r:id="rId50" display="http://www.c-bike.com.tw/StationShow.aspx?sid=131"/>
    <hyperlink ref="A51" r:id="rId51" display="http://www.c-bike.com.tw/StationShow.aspx?sid=132"/>
    <hyperlink ref="A52" r:id="rId52" display="http://www.c-bike.com.tw/StationShow.aspx?sid=133"/>
    <hyperlink ref="A53" r:id="rId53" display="http://www.c-bike.com.tw/StationShow.aspx?sid=134"/>
    <hyperlink ref="A54" r:id="rId54" display="http://www.c-bike.com.tw/StationShow.aspx?sid=137"/>
    <hyperlink ref="A55" r:id="rId55" display="http://www.c-bike.com.tw/StationShow.aspx?sid=138"/>
    <hyperlink ref="A56" r:id="rId56" display="http://www.c-bike.com.tw/StationShow.aspx?sid=140"/>
    <hyperlink ref="A57" r:id="rId57" display="http://www.c-bike.com.tw/StationShow.aspx?sid=142"/>
    <hyperlink ref="A58" r:id="rId58" display="http://www.c-bike.com.tw/StationShow.aspx?sid=143"/>
    <hyperlink ref="A59" r:id="rId59" display="http://www.c-bike.com.tw/StationShow.aspx?sid=144"/>
    <hyperlink ref="A60" r:id="rId60" display="http://www.c-bike.com.tw/StationShow.aspx?sid=146"/>
    <hyperlink ref="A61" r:id="rId61" display="http://www.c-bike.com.tw/StationShow.aspx?sid=147"/>
    <hyperlink ref="A62" r:id="rId62" display="http://www.c-bike.com.tw/StationShow.aspx?sid=148"/>
    <hyperlink ref="A63" r:id="rId63" display="http://www.c-bike.com.tw/StationShow.aspx?sid=149"/>
    <hyperlink ref="A64" r:id="rId64" display="http://www.c-bike.com.tw/StationShow.aspx?sid=152"/>
    <hyperlink ref="A65" r:id="rId65" display="http://www.c-bike.com.tw/StationShow.aspx?sid=153"/>
    <hyperlink ref="A66" r:id="rId66" display="http://www.c-bike.com.tw/StationShow.aspx?sid=154"/>
    <hyperlink ref="A67" r:id="rId67" display="http://www.c-bike.com.tw/StationShow.aspx?sid=155"/>
    <hyperlink ref="A68" r:id="rId68" display="http://www.c-bike.com.tw/StationShow.aspx?sid=156"/>
    <hyperlink ref="A69" r:id="rId69" display="http://www.c-bike.com.tw/StationShow.aspx?sid=160"/>
    <hyperlink ref="A70" r:id="rId70" display="http://www.c-bike.com.tw/StationShow.aspx?sid=162"/>
    <hyperlink ref="A71" r:id="rId71" display="http://www.c-bike.com.tw/StationShow.aspx?sid=164"/>
    <hyperlink ref="A72" r:id="rId72" display="http://www.c-bike.com.tw/StationShow.aspx?sid=166"/>
    <hyperlink ref="A73" r:id="rId73" display="http://www.c-bike.com.tw/StationShow.aspx?sid=167"/>
    <hyperlink ref="A74" r:id="rId74" display="http://www.c-bike.com.tw/StationShow.aspx?sid=168"/>
    <hyperlink ref="A75" r:id="rId75" display="http://www.c-bike.com.tw/StationShow.aspx?sid=241"/>
    <hyperlink ref="A76" r:id="rId76" display="http://www.c-bike.com.tw/StationShow.aspx?sid=244"/>
    <hyperlink ref="A77" r:id="rId77" display="http://www.c-bike.com.tw/StationShow.aspx?sid=245"/>
    <hyperlink ref="A78" r:id="rId78" display="http://www.c-bike.com.tw/StationShow.aspx?sid=249"/>
    <hyperlink ref="A79" r:id="rId79" display="http://www.c-bike.com.tw/StationShow.aspx?sid=251"/>
    <hyperlink ref="A80" r:id="rId80" display="http://www.c-bike.com.tw/StationShow.aspx?sid=252"/>
    <hyperlink ref="A81" r:id="rId81" display="http://www.c-bike.com.tw/StationShow.aspx?sid=253"/>
    <hyperlink ref="A82" r:id="rId82" display="http://www.c-bike.com.tw/StationShow.aspx?sid=254"/>
    <hyperlink ref="A83" r:id="rId83" display="http://www.c-bike.com.tw/StationShow.aspx?sid=255"/>
    <hyperlink ref="A84" r:id="rId84" display="http://www.c-bike.com.tw/StationShow.aspx?sid=256"/>
    <hyperlink ref="A85" r:id="rId85" display="http://www.c-bike.com.tw/StationShow.aspx?sid=257"/>
    <hyperlink ref="A86" r:id="rId86" display="http://www.c-bike.com.tw/StationShow.aspx?sid=258"/>
    <hyperlink ref="A87" r:id="rId87" display="http://www.c-bike.com.tw/StationShow.aspx?sid=259"/>
    <hyperlink ref="A88" r:id="rId88" display="http://www.c-bike.com.tw/StationShow.aspx?sid=261"/>
    <hyperlink ref="A89" r:id="rId89" display="http://www.c-bike.com.tw/StationShow.aspx?sid=263"/>
    <hyperlink ref="A90" r:id="rId90" display="http://www.c-bike.com.tw/StationShow.aspx?sid=264"/>
    <hyperlink ref="A91" r:id="rId91" display="http://www.c-bike.com.tw/StationShow.aspx?sid=266"/>
    <hyperlink ref="A92" r:id="rId92" display="http://www.c-bike.com.tw/StationShow.aspx?sid=267"/>
    <hyperlink ref="A93" r:id="rId93" display="http://www.c-bike.com.tw/StationShow.aspx?sid=268"/>
    <hyperlink ref="A94" r:id="rId94" display="http://www.c-bike.com.tw/StationShow.aspx?sid=270"/>
    <hyperlink ref="A95" r:id="rId95" display="http://www.c-bike.com.tw/StationShow.aspx?sid=271"/>
    <hyperlink ref="A96" r:id="rId96" display="http://www.c-bike.com.tw/StationShow.aspx?sid=272"/>
    <hyperlink ref="A97" r:id="rId97" display="http://www.c-bike.com.tw/StationShow.aspx?sid=273"/>
    <hyperlink ref="A98" r:id="rId98" display="http://www.c-bike.com.tw/StationShow.aspx?sid=275"/>
    <hyperlink ref="A99" r:id="rId99" display="http://www.c-bike.com.tw/StationShow.aspx?sid=276"/>
    <hyperlink ref="A100" r:id="rId100" display="http://www.c-bike.com.tw/StationShow.aspx?sid=277"/>
    <hyperlink ref="A101" r:id="rId101" display="http://www.c-bike.com.tw/StationShow.aspx?sid=278"/>
    <hyperlink ref="A102" r:id="rId102" display="http://www.c-bike.com.tw/StationShow.aspx?sid=280"/>
    <hyperlink ref="A103" r:id="rId103" display="http://www.c-bike.com.tw/StationShow.aspx?sid=281"/>
    <hyperlink ref="A104" r:id="rId104" display="http://www.c-bike.com.tw/StationShow.aspx?sid=282"/>
    <hyperlink ref="A105" r:id="rId105" display="http://www.c-bike.com.tw/StationShow.aspx?sid=316"/>
    <hyperlink ref="A106" r:id="rId106" display="http://www.c-bike.com.tw/StationShow.aspx?sid=317"/>
    <hyperlink ref="A107" r:id="rId107" display="http://www.c-bike.com.tw/StationShow.aspx?sid=319"/>
    <hyperlink ref="A108" r:id="rId108" display="http://www.c-bike.com.tw/StationShow.aspx?sid=321"/>
    <hyperlink ref="A109" r:id="rId109" display="http://www.c-bike.com.tw/StationShow.aspx?sid=322"/>
    <hyperlink ref="A110" r:id="rId110" display="http://www.c-bike.com.tw/StationShow.aspx?sid=323"/>
    <hyperlink ref="A111" r:id="rId111" display="http://www.c-bike.com.tw/StationShow.aspx?sid=324"/>
    <hyperlink ref="A112" r:id="rId112" display="http://www.c-bike.com.tw/StationShow.aspx?sid=325"/>
    <hyperlink ref="A113" r:id="rId113" display="http://www.c-bike.com.tw/StationShow.aspx?sid=326"/>
    <hyperlink ref="A114" r:id="rId114" display="http://www.c-bike.com.tw/StationShow.aspx?sid=327"/>
    <hyperlink ref="A115" r:id="rId115" display="http://www.c-bike.com.tw/StationShow.aspx?sid=335"/>
    <hyperlink ref="B1" r:id="rId116" display="http://www.c-bike.com.tw/english/StationShow.aspx?sid=68"/>
    <hyperlink ref="B2" r:id="rId117" display="http://www.c-bike.com.tw/english/StationShow.aspx?sid=69"/>
    <hyperlink ref="B3" r:id="rId118" display="http://www.c-bike.com.tw/english/StationShow.aspx?sid=70"/>
    <hyperlink ref="B4" r:id="rId119" display="http://www.c-bike.com.tw/english/StationShow.aspx?sid=71"/>
    <hyperlink ref="B5" r:id="rId120" display="http://www.c-bike.com.tw/english/StationShow.aspx?sid=72"/>
    <hyperlink ref="B6" r:id="rId121" display="http://www.c-bike.com.tw/english/StationShow.aspx?sid=73"/>
    <hyperlink ref="B7" r:id="rId122" display="http://www.c-bike.com.tw/english/StationShow.aspx?sid=74"/>
    <hyperlink ref="B8" r:id="rId123" display="http://www.c-bike.com.tw/english/StationShow.aspx?sid=75"/>
    <hyperlink ref="B9" r:id="rId124" display="http://www.c-bike.com.tw/english/StationShow.aspx?sid=76"/>
    <hyperlink ref="B10" r:id="rId125" display="http://www.c-bike.com.tw/english/StationShow.aspx?sid=77"/>
    <hyperlink ref="B11" r:id="rId126" display="http://www.c-bike.com.tw/english/StationShow.aspx?sid=78"/>
    <hyperlink ref="B12" r:id="rId127" display="http://www.c-bike.com.tw/english/StationShow.aspx?sid=80"/>
    <hyperlink ref="B13" r:id="rId128" display="http://www.c-bike.com.tw/english/StationShow.aspx?sid=81"/>
    <hyperlink ref="B14" r:id="rId129" display="http://www.c-bike.com.tw/english/StationShow.aspx?sid=82"/>
    <hyperlink ref="B15" r:id="rId130" display="http://www.c-bike.com.tw/english/StationShow.aspx?sid=83"/>
    <hyperlink ref="B16" r:id="rId131" display="http://www.c-bike.com.tw/english/StationShow.aspx?sid=84"/>
    <hyperlink ref="B17" r:id="rId132" display="http://www.c-bike.com.tw/english/StationShow.aspx?sid=85"/>
    <hyperlink ref="B18" r:id="rId133" display="http://www.c-bike.com.tw/english/StationShow.aspx?sid=86"/>
    <hyperlink ref="B19" r:id="rId134" display="http://www.c-bike.com.tw/english/StationShow.aspx?sid=87"/>
    <hyperlink ref="B20" r:id="rId135" display="http://www.c-bike.com.tw/english/StationShow.aspx?sid=88"/>
    <hyperlink ref="B21" r:id="rId136" display="http://www.c-bike.com.tw/english/StationShow.aspx?sid=90"/>
    <hyperlink ref="B22" r:id="rId137" display="http://www.c-bike.com.tw/english/StationShow.aspx?sid=91"/>
    <hyperlink ref="B23" r:id="rId138" display="http://www.c-bike.com.tw/english/StationShow.aspx?sid=92"/>
    <hyperlink ref="B24" r:id="rId139" display="http://www.c-bike.com.tw/english/StationShow.aspx?sid=93"/>
    <hyperlink ref="B25" r:id="rId140" display="http://www.c-bike.com.tw/english/StationShow.aspx?sid=94"/>
    <hyperlink ref="B26" r:id="rId141" display="http://www.c-bike.com.tw/english/StationShow.aspx?sid=95"/>
    <hyperlink ref="B27" r:id="rId142" display="http://www.c-bike.com.tw/english/StationShow.aspx?sid=169"/>
    <hyperlink ref="B28" r:id="rId143" display="http://www.c-bike.com.tw/english/StationShow.aspx?sid=171"/>
    <hyperlink ref="B29" r:id="rId144" display="http://www.c-bike.com.tw/english/StationShow.aspx?sid=191"/>
    <hyperlink ref="B30" r:id="rId145" display="http://www.c-bike.com.tw/english/StationShow.aspx?sid=192"/>
    <hyperlink ref="B31" r:id="rId146" display="http://www.c-bike.com.tw/english/StationShow.aspx?sid=193"/>
    <hyperlink ref="B32" r:id="rId147" display="http://www.c-bike.com.tw/english/StationShow.aspx?sid=194"/>
    <hyperlink ref="B33" r:id="rId148" display="http://www.c-bike.com.tw/english/StationShow.aspx?sid=195"/>
    <hyperlink ref="B34" r:id="rId149" display="http://www.c-bike.com.tw/english/StationShow.aspx?sid=196"/>
    <hyperlink ref="B35" r:id="rId150" display="http://www.c-bike.com.tw/english/StationShow.aspx?sid=197"/>
    <hyperlink ref="B36" r:id="rId151" display="http://www.c-bike.com.tw/english/StationShow.aspx?sid=198"/>
    <hyperlink ref="B37" r:id="rId152" display="http://www.c-bike.com.tw/english/StationShow.aspx?sid=199"/>
    <hyperlink ref="B38" r:id="rId153" display="http://www.c-bike.com.tw/english/StationShow.aspx?sid=200"/>
    <hyperlink ref="B39" r:id="rId154" display="http://www.c-bike.com.tw/english/StationShow.aspx?sid=201"/>
    <hyperlink ref="B40" r:id="rId155" display="http://www.c-bike.com.tw/english/StationShow.aspx?sid=202"/>
    <hyperlink ref="B41" r:id="rId156" display="http://www.c-bike.com.tw/english/StationShow.aspx?sid=203"/>
    <hyperlink ref="B42" r:id="rId157" display="http://www.c-bike.com.tw/english/StationShow.aspx?sid=204"/>
    <hyperlink ref="B43" r:id="rId158" display="http://www.c-bike.com.tw/english/StationShow.aspx?sid=205"/>
    <hyperlink ref="B44" r:id="rId159" display="http://www.c-bike.com.tw/english/StationShow.aspx?sid=206"/>
    <hyperlink ref="B45" r:id="rId160" display="http://www.c-bike.com.tw/english/StationShow.aspx?sid=207"/>
    <hyperlink ref="B46" r:id="rId161" display="http://www.c-bike.com.tw/english/StationShow.aspx?sid=208"/>
    <hyperlink ref="B47" r:id="rId162" display="http://www.c-bike.com.tw/english/StationShow.aspx?sid=209"/>
    <hyperlink ref="B48" r:id="rId163" display="http://www.c-bike.com.tw/english/StationShow.aspx?sid=210"/>
    <hyperlink ref="B49" r:id="rId164" display="http://www.c-bike.com.tw/english/StationShow.aspx?sid=211"/>
    <hyperlink ref="B50" r:id="rId165" display="http://www.c-bike.com.tw/english/StationShow.aspx?sid=212"/>
    <hyperlink ref="B51" r:id="rId166" display="http://www.c-bike.com.tw/english/StationShow.aspx?sid=213"/>
    <hyperlink ref="B52" r:id="rId167" display="http://www.c-bike.com.tw/english/StationShow.aspx?sid=214"/>
    <hyperlink ref="B53" r:id="rId168" display="http://www.c-bike.com.tw/english/StationShow.aspx?sid=215"/>
    <hyperlink ref="B54" r:id="rId169" display="http://www.c-bike.com.tw/english/StationShow.aspx?sid=217"/>
    <hyperlink ref="B55" r:id="rId170" display="http://www.c-bike.com.tw/english/StationShow.aspx?sid=218"/>
    <hyperlink ref="B56" r:id="rId171" display="http://www.c-bike.com.tw/english/StationShow.aspx?sid=219"/>
    <hyperlink ref="B57" r:id="rId172" display="http://www.c-bike.com.tw/english/StationShow.aspx?sid=220"/>
    <hyperlink ref="B58" r:id="rId173" display="http://www.c-bike.com.tw/english/StationShow.aspx?sid=221"/>
    <hyperlink ref="B59" r:id="rId174" display="http://www.c-bike.com.tw/english/StationShow.aspx?sid=222"/>
    <hyperlink ref="B60" r:id="rId175" display="http://www.c-bike.com.tw/english/StationShow.aspx?sid=223"/>
    <hyperlink ref="B61" r:id="rId176" display="http://www.c-bike.com.tw/english/StationShow.aspx?sid=224"/>
    <hyperlink ref="B62" r:id="rId177" display="http://www.c-bike.com.tw/english/StationShow.aspx?sid=225"/>
    <hyperlink ref="B63" r:id="rId178" display="http://www.c-bike.com.tw/english/StationShow.aspx?sid=226"/>
    <hyperlink ref="B64" r:id="rId179" display="http://www.c-bike.com.tw/english/StationShow.aspx?sid=227"/>
    <hyperlink ref="B65" r:id="rId180" display="http://www.c-bike.com.tw/english/StationShow.aspx?sid=228"/>
    <hyperlink ref="B66" r:id="rId181" display="http://www.c-bike.com.tw/english/StationShow.aspx?sid=229"/>
    <hyperlink ref="B67" r:id="rId182" display="http://www.c-bike.com.tw/english/StationShow.aspx?sid=230"/>
    <hyperlink ref="B68" r:id="rId183" display="http://www.c-bike.com.tw/english/StationShow.aspx?sid=231"/>
    <hyperlink ref="B69" r:id="rId184" display="http://www.c-bike.com.tw/english/StationShow.aspx?sid=233"/>
    <hyperlink ref="B70" r:id="rId185" display="http://www.c-bike.com.tw/english/StationShow.aspx?sid=234"/>
    <hyperlink ref="B71" r:id="rId186" display="http://www.c-bike.com.tw/english/StationShow.aspx?sid=235"/>
    <hyperlink ref="B72" r:id="rId187" display="http://www.c-bike.com.tw/english/StationShow.aspx?sid=236"/>
    <hyperlink ref="B73" r:id="rId188" display="http://www.c-bike.com.tw/english/StationShow.aspx?sid=237"/>
    <hyperlink ref="B74" r:id="rId189" display="http://www.c-bike.com.tw/english/StationShow.aspx?sid=238"/>
    <hyperlink ref="B75" r:id="rId190" display="http://www.c-bike.com.tw/english/StationShow.aspx?sid=239"/>
    <hyperlink ref="B76" r:id="rId191" display="http://www.c-bike.com.tw/english/StationShow.aspx?sid=240"/>
    <hyperlink ref="B77" r:id="rId192" display="http://www.c-bike.com.tw/english/StationShow.aspx?sid=242"/>
    <hyperlink ref="B78" r:id="rId193" display="http://www.c-bike.com.tw/english/StationShow.aspx?sid=247"/>
    <hyperlink ref="B79" r:id="rId194" display="http://www.c-bike.com.tw/english/StationShow.aspx?sid=248"/>
    <hyperlink ref="B80" r:id="rId195" display="http://www.c-bike.com.tw/english/StationShow.aspx?sid=250"/>
    <hyperlink ref="B81" r:id="rId196" display="http://www.c-bike.com.tw/english/StationShow.aspx?sid=283"/>
    <hyperlink ref="B82" r:id="rId197" display="http://www.c-bike.com.tw/english/StationShow.aspx?sid=284"/>
    <hyperlink ref="B83" r:id="rId198" display="http://www.c-bike.com.tw/english/StationShow.aspx?sid=285"/>
    <hyperlink ref="B84" r:id="rId199" display="http://www.c-bike.com.tw/english/StationShow.aspx?sid=286"/>
    <hyperlink ref="B85" r:id="rId200" display="http://www.c-bike.com.tw/english/StationShow.aspx?sid=287"/>
    <hyperlink ref="B86" r:id="rId201" display="http://www.c-bike.com.tw/english/StationShow.aspx?sid=288"/>
    <hyperlink ref="B87" r:id="rId202" display="http://www.c-bike.com.tw/english/StationShow.aspx?sid=289"/>
    <hyperlink ref="B88" r:id="rId203" display="http://www.c-bike.com.tw/english/StationShow.aspx?sid=290"/>
    <hyperlink ref="B89" r:id="rId204" display="http://www.c-bike.com.tw/english/StationShow.aspx?sid=291"/>
    <hyperlink ref="B90" r:id="rId205" display="http://www.c-bike.com.tw/english/StationShow.aspx?sid=292"/>
    <hyperlink ref="B91" r:id="rId206" display="http://www.c-bike.com.tw/english/StationShow.aspx?sid=294"/>
    <hyperlink ref="B92" r:id="rId207" display="http://www.c-bike.com.tw/english/StationShow.aspx?sid=296"/>
    <hyperlink ref="B93" r:id="rId208" display="http://www.c-bike.com.tw/english/StationShow.aspx?sid=297"/>
    <hyperlink ref="B94" r:id="rId209" display="http://www.c-bike.com.tw/english/StationShow.aspx?sid=299"/>
    <hyperlink ref="B95" r:id="rId210" display="http://www.c-bike.com.tw/english/StationShow.aspx?sid=300"/>
    <hyperlink ref="B96" r:id="rId211" display="http://www.c-bike.com.tw/english/StationShow.aspx?sid=301"/>
    <hyperlink ref="B97" r:id="rId212" display="http://www.c-bike.com.tw/english/StationShow.aspx?sid=303"/>
    <hyperlink ref="B98" r:id="rId213" display="http://www.c-bike.com.tw/english/StationShow.aspx?sid=304"/>
    <hyperlink ref="B99" r:id="rId214" display="http://www.c-bike.com.tw/english/StationShow.aspx?sid=305"/>
    <hyperlink ref="B100" r:id="rId215" display="http://www.c-bike.com.tw/english/StationShow.aspx?sid=306"/>
    <hyperlink ref="B101" r:id="rId216" display="http://www.c-bike.com.tw/english/StationShow.aspx?sid=308"/>
    <hyperlink ref="B102" r:id="rId217" display="http://www.c-bike.com.tw/english/StationShow.aspx?sid=309"/>
    <hyperlink ref="B103" r:id="rId218" display="http://www.c-bike.com.tw/english/StationShow.aspx?sid=310"/>
    <hyperlink ref="B104" r:id="rId219" display="http://www.c-bike.com.tw/english/StationShow.aspx?sid=311"/>
    <hyperlink ref="B105" r:id="rId220" display="http://www.c-bike.com.tw/english/StationShow.aspx?sid=312"/>
    <hyperlink ref="B106" r:id="rId221" display="http://www.c-bike.com.tw/english/StationShow.aspx?sid=313"/>
    <hyperlink ref="B107" r:id="rId222" display="http://www.c-bike.com.tw/english/StationShow.aspx?sid=314"/>
    <hyperlink ref="B108" r:id="rId223" display="http://www.c-bike.com.tw/english/StationShow.aspx?sid=315"/>
    <hyperlink ref="B109" r:id="rId224" display="http://www.c-bike.com.tw/english/StationShow.aspx?sid=318"/>
    <hyperlink ref="B110" r:id="rId225" display="http://www.c-bike.com.tw/english/StationShow.aspx?sid=320"/>
    <hyperlink ref="B111" r:id="rId226" display="http://www.c-bike.com.tw/english/StationShow.aspx?sid=328"/>
    <hyperlink ref="B112" r:id="rId227" display="http://www.c-bike.com.tw/english/StationShow.aspx?sid=329"/>
    <hyperlink ref="B113" r:id="rId228" display="http://www.c-bike.com.tw/english/StationShow.aspx?sid=330"/>
    <hyperlink ref="B114" r:id="rId229" display="http://www.c-bike.com.tw/english/StationShow.aspx?sid=331"/>
    <hyperlink ref="B115" r:id="rId230" display="http://www.c-bike.com.tw/english/StationShow.aspx?sid=332"/>
    <hyperlink ref="B116" r:id="rId231" display="http://www.c-bike.com.tw/english/StationShow.aspx?sid=333"/>
    <hyperlink ref="B117" r:id="rId232" display="http://www.c-bike.com.tw/english/StationShow.aspx?sid=334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G_LATLNG</vt:lpstr>
      <vt:lpstr>G_DISTANCE</vt:lpstr>
      <vt:lpstr>WebBrowser</vt:lpstr>
      <vt:lpstr>ListDistances</vt:lpstr>
      <vt:lpstr>ListStation</vt:lpstr>
      <vt:lpstr>Locations</vt:lpstr>
      <vt:lpstr>WebBrowser!tempTable_1</vt:lpstr>
    </vt:vector>
  </TitlesOfParts>
  <Company>Aedas UK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Bull</dc:creator>
  <cp:lastModifiedBy>MACPRO</cp:lastModifiedBy>
  <dcterms:created xsi:type="dcterms:W3CDTF">2012-03-13T19:24:43Z</dcterms:created>
  <dcterms:modified xsi:type="dcterms:W3CDTF">2015-05-25T14:48:17Z</dcterms:modified>
</cp:coreProperties>
</file>